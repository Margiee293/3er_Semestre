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26e730d9cde4bfb5/Escritorio/Metodos_Numericos/Aproximacion_Raices/"/>
    </mc:Choice>
  </mc:AlternateContent>
  <xr:revisionPtr revIDLastSave="710" documentId="8_{FCC5D87C-5235-4C15-99C5-89F8B09C0860}" xr6:coauthVersionLast="47" xr6:coauthVersionMax="47" xr10:uidLastSave="{90B8CD61-68FD-486E-8D51-1B477686E218}"/>
  <bookViews>
    <workbookView xWindow="-108" yWindow="-108" windowWidth="23256" windowHeight="12456" tabRatio="644" firstSheet="4" activeTab="7" xr2:uid="{FF0B2585-D595-4138-BC7B-7E76D724AB64}"/>
  </bookViews>
  <sheets>
    <sheet name="Secante" sheetId="2" state="hidden" r:id="rId1"/>
    <sheet name="Tabla de Biseccion" sheetId="8" r:id="rId2"/>
    <sheet name="Metodo Secante" sheetId="6" r:id="rId3"/>
    <sheet name="Metodo Falsa Posicion" sheetId="5" r:id="rId4"/>
    <sheet name="Metodo Newton - Rhapson" sheetId="4" r:id="rId5"/>
    <sheet name="Metodo Punto Fijo" sheetId="9" r:id="rId6"/>
    <sheet name="Medoto de Steffenson" sheetId="10" r:id="rId7"/>
    <sheet name="Metodo Steffenson y Secante" sheetId="12" r:id="rId8"/>
  </sheets>
  <functionGroups builtInGroupCount="19"/>
  <definedNames>
    <definedName name="_xleta.AB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7" i="12" l="1"/>
  <c r="D7" i="12" a="1"/>
  <c r="E7" i="12" s="1" a="1"/>
  <c r="G6" i="12"/>
  <c r="F6" i="12" a="1"/>
  <c r="E6" i="12" a="1"/>
  <c r="D6" i="12" a="1"/>
  <c r="E5" i="12" a="1"/>
  <c r="D5" i="12"/>
  <c r="C5" i="12"/>
  <c r="J11" i="10" a="1"/>
  <c r="I12" i="10" s="1"/>
  <c r="J12" i="10" s="1" a="1"/>
  <c r="I13" i="10" s="1"/>
  <c r="K13" i="10" s="1" a="1"/>
  <c r="I4" i="10" a="1"/>
  <c r="J4" i="10" s="1" a="1"/>
  <c r="I11" i="10"/>
  <c r="H4" i="10"/>
  <c r="D4" i="10" a="1"/>
  <c r="C4" i="10"/>
  <c r="E6" i="9" a="1"/>
  <c r="F6" i="9" s="1"/>
  <c r="D6" i="9"/>
  <c r="E7" i="5" a="1"/>
  <c r="H7" i="5" s="1" a="1"/>
  <c r="E6" i="4" a="1"/>
  <c r="D6" i="4" a="1"/>
  <c r="F6" i="4" s="1"/>
  <c r="G6" i="4" s="1"/>
  <c r="E6" i="6" a="1"/>
  <c r="D6" i="6"/>
  <c r="F8" i="5" a="1"/>
  <c r="C8" i="5"/>
  <c r="E6" i="8"/>
  <c r="I6" i="8"/>
  <c r="D7" i="8" a="1"/>
  <c r="E7" i="8" s="1"/>
  <c r="C7" i="8" a="1"/>
  <c r="G6" i="8" a="1"/>
  <c r="F6" i="8" a="1"/>
  <c r="H6" i="8" a="1"/>
  <c r="D6" i="8"/>
  <c r="C6" i="8"/>
  <c r="E8" i="2" a="1"/>
  <c r="D8" i="2"/>
  <c r="C7" i="6"/>
  <c r="C6" i="6"/>
  <c r="G7" i="5" a="1"/>
  <c r="F7" i="5" a="1"/>
  <c r="D7" i="5"/>
  <c r="C7" i="5"/>
  <c r="C6" i="4"/>
  <c r="C9" i="2"/>
  <c r="C8" i="2"/>
  <c r="B10" i="2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9" i="2"/>
  <c r="G7" i="12" l="1"/>
  <c r="F7" i="12" a="1"/>
  <c r="C8" i="12" s="1"/>
  <c r="D8" i="12" s="1" a="1"/>
  <c r="F5" i="12" a="1"/>
  <c r="C6" i="12" s="1"/>
  <c r="G5" i="12"/>
  <c r="L13" i="10"/>
  <c r="I14" i="10"/>
  <c r="J14" i="10" s="1" a="1"/>
  <c r="I15" i="10" s="1"/>
  <c r="K15" i="10" s="1" a="1"/>
  <c r="C5" i="10"/>
  <c r="D5" i="10" s="1" a="1"/>
  <c r="E5" i="10"/>
  <c r="K4" i="10"/>
  <c r="D8" i="5"/>
  <c r="I7" i="5"/>
  <c r="D7" i="9"/>
  <c r="E7" i="9" s="1" a="1"/>
  <c r="D8" i="8" a="1"/>
  <c r="E8" i="8" s="1"/>
  <c r="I7" i="8"/>
  <c r="C8" i="8" a="1"/>
  <c r="F7" i="8" a="1"/>
  <c r="D7" i="6"/>
  <c r="F6" i="6"/>
  <c r="F8" i="2"/>
  <c r="D9" i="2"/>
  <c r="E9" i="2" s="1" a="1"/>
  <c r="D10" i="2" s="1"/>
  <c r="E8" i="12" l="1" a="1"/>
  <c r="F8" i="12" a="1"/>
  <c r="C9" i="12" s="1"/>
  <c r="L15" i="10"/>
  <c r="I16" i="10"/>
  <c r="J16" i="10" s="1" a="1"/>
  <c r="I17" i="10" s="1"/>
  <c r="K17" i="10" s="1" a="1"/>
  <c r="L17" i="10" s="1"/>
  <c r="E6" i="10"/>
  <c r="C6" i="10"/>
  <c r="H5" i="10" s="1" a="1"/>
  <c r="F7" i="9"/>
  <c r="D8" i="9"/>
  <c r="E8" i="9" s="1" a="1"/>
  <c r="C9" i="5"/>
  <c r="E8" i="5" a="1"/>
  <c r="G8" i="5" a="1"/>
  <c r="C7" i="4"/>
  <c r="C8" i="6"/>
  <c r="E7" i="6" a="1"/>
  <c r="C10" i="2"/>
  <c r="G8" i="12" l="1"/>
  <c r="D9" i="12" a="1"/>
  <c r="E9" i="12" a="1"/>
  <c r="F9" i="12" a="1"/>
  <c r="C10" i="12" s="1"/>
  <c r="I5" i="10" a="1"/>
  <c r="J5" i="10" s="1" a="1"/>
  <c r="D6" i="10" a="1"/>
  <c r="F8" i="9"/>
  <c r="D9" i="9"/>
  <c r="E9" i="9" s="1" a="1"/>
  <c r="E9" i="5" a="1"/>
  <c r="F9" i="5" a="1"/>
  <c r="H8" i="5" a="1"/>
  <c r="D9" i="5"/>
  <c r="I8" i="5"/>
  <c r="D7" i="4" a="1"/>
  <c r="F7" i="4" s="1"/>
  <c r="E7" i="4" a="1"/>
  <c r="F7" i="6"/>
  <c r="D8" i="6"/>
  <c r="F9" i="2"/>
  <c r="G9" i="12" l="1"/>
  <c r="D10" i="12" a="1"/>
  <c r="F10" i="12" a="1"/>
  <c r="C11" i="12" s="1"/>
  <c r="E10" i="12" a="1"/>
  <c r="K5" i="10"/>
  <c r="H6" i="10" a="1"/>
  <c r="C7" i="10"/>
  <c r="E7" i="10"/>
  <c r="F9" i="9"/>
  <c r="D10" i="9"/>
  <c r="E10" i="9" s="1" a="1"/>
  <c r="D10" i="5"/>
  <c r="I9" i="5"/>
  <c r="H9" i="5" a="1"/>
  <c r="G9" i="5" a="1"/>
  <c r="C10" i="5"/>
  <c r="G7" i="4"/>
  <c r="C8" i="4"/>
  <c r="D8" i="4" a="1"/>
  <c r="F8" i="4" s="1"/>
  <c r="G8" i="4" s="1"/>
  <c r="E8" i="4" a="1"/>
  <c r="C9" i="6"/>
  <c r="E8" i="6" a="1"/>
  <c r="E10" i="2" a="1"/>
  <c r="C11" i="2"/>
  <c r="G10" i="12" l="1"/>
  <c r="D11" i="12" a="1"/>
  <c r="I6" i="10" a="1"/>
  <c r="J6" i="10" s="1" a="1"/>
  <c r="D7" i="10" a="1"/>
  <c r="F10" i="9"/>
  <c r="D11" i="9"/>
  <c r="E11" i="9" s="1" a="1"/>
  <c r="C11" i="5"/>
  <c r="G10" i="5" a="1"/>
  <c r="E10" i="5" a="1"/>
  <c r="F10" i="5" a="1"/>
  <c r="D9" i="6"/>
  <c r="F8" i="6"/>
  <c r="F10" i="2"/>
  <c r="D11" i="2"/>
  <c r="F11" i="12" l="1" a="1"/>
  <c r="C12" i="12" s="1"/>
  <c r="E11" i="12" a="1"/>
  <c r="K6" i="10"/>
  <c r="H7" i="10" a="1"/>
  <c r="I7" i="10" s="1" a="1"/>
  <c r="J7" i="10" s="1" a="1"/>
  <c r="K7" i="10" s="1"/>
  <c r="E8" i="10"/>
  <c r="C8" i="10"/>
  <c r="F11" i="9"/>
  <c r="D12" i="9"/>
  <c r="E12" i="9" s="1" a="1"/>
  <c r="E11" i="5" a="1"/>
  <c r="F11" i="5" a="1"/>
  <c r="I10" i="5"/>
  <c r="D11" i="5"/>
  <c r="H10" i="5" a="1"/>
  <c r="C9" i="4"/>
  <c r="E9" i="6" a="1"/>
  <c r="C10" i="6"/>
  <c r="E11" i="2" a="1"/>
  <c r="C12" i="2"/>
  <c r="D12" i="12" l="1" a="1"/>
  <c r="G11" i="12"/>
  <c r="D8" i="10" a="1"/>
  <c r="F12" i="9"/>
  <c r="D13" i="9"/>
  <c r="E13" i="9" s="1" a="1"/>
  <c r="F13" i="9" s="1"/>
  <c r="D12" i="5"/>
  <c r="I11" i="5"/>
  <c r="H11" i="5" a="1"/>
  <c r="C12" i="5"/>
  <c r="G11" i="5" a="1"/>
  <c r="E9" i="4" a="1"/>
  <c r="D9" i="4" a="1"/>
  <c r="F9" i="4" s="1"/>
  <c r="D10" i="6"/>
  <c r="F9" i="6"/>
  <c r="F11" i="2"/>
  <c r="D12" i="2"/>
  <c r="E12" i="12" l="1" a="1"/>
  <c r="F12" i="12" a="1"/>
  <c r="C13" i="12" s="1"/>
  <c r="E9" i="10"/>
  <c r="C9" i="10"/>
  <c r="D14" i="9"/>
  <c r="E14" i="9" s="1" a="1"/>
  <c r="C13" i="5"/>
  <c r="F13" i="5" s="1" a="1"/>
  <c r="G12" i="5" a="1"/>
  <c r="E12" i="5" a="1"/>
  <c r="F12" i="5" a="1"/>
  <c r="C10" i="4"/>
  <c r="G9" i="4"/>
  <c r="C11" i="6"/>
  <c r="E10" i="6" a="1"/>
  <c r="E12" i="2" a="1"/>
  <c r="C13" i="2"/>
  <c r="G12" i="12" l="1"/>
  <c r="D13" i="12" a="1"/>
  <c r="D9" i="10" a="1"/>
  <c r="F14" i="9"/>
  <c r="D15" i="9"/>
  <c r="E15" i="9" s="1" a="1"/>
  <c r="I12" i="5"/>
  <c r="D13" i="5"/>
  <c r="H12" i="5" a="1"/>
  <c r="E10" i="4" a="1"/>
  <c r="D10" i="4" a="1"/>
  <c r="F10" i="4" s="1"/>
  <c r="G10" i="4" s="1"/>
  <c r="F10" i="6"/>
  <c r="D11" i="6"/>
  <c r="F12" i="2"/>
  <c r="D13" i="2"/>
  <c r="F13" i="12" l="1" a="1"/>
  <c r="C14" i="12" s="1"/>
  <c r="E13" i="12" a="1"/>
  <c r="C10" i="10"/>
  <c r="E10" i="10"/>
  <c r="F15" i="9"/>
  <c r="D16" i="9"/>
  <c r="E16" i="9" s="1" a="1"/>
  <c r="F16" i="9" s="1"/>
  <c r="C14" i="5"/>
  <c r="F14" i="5" s="1" a="1"/>
  <c r="E13" i="5" a="1"/>
  <c r="G13" i="5" a="1"/>
  <c r="C11" i="4"/>
  <c r="C12" i="6"/>
  <c r="E11" i="6" a="1"/>
  <c r="E13" i="2" a="1"/>
  <c r="C14" i="2"/>
  <c r="G13" i="12" l="1"/>
  <c r="D14" i="12" a="1"/>
  <c r="D10" i="10" a="1"/>
  <c r="D17" i="9"/>
  <c r="E17" i="9" s="1" a="1"/>
  <c r="I13" i="5"/>
  <c r="D14" i="5"/>
  <c r="H13" i="5" a="1"/>
  <c r="E11" i="4" a="1"/>
  <c r="D11" i="4" a="1"/>
  <c r="F11" i="4" s="1"/>
  <c r="G11" i="4" s="1"/>
  <c r="F11" i="6"/>
  <c r="D12" i="6"/>
  <c r="D14" i="2"/>
  <c r="F13" i="2"/>
  <c r="F14" i="12" l="1" a="1"/>
  <c r="C15" i="12" s="1"/>
  <c r="E14" i="12" a="1"/>
  <c r="E11" i="10"/>
  <c r="C11" i="10"/>
  <c r="F17" i="9"/>
  <c r="D18" i="9"/>
  <c r="E18" i="9" s="1" a="1"/>
  <c r="C15" i="5"/>
  <c r="F15" i="5" s="1" a="1"/>
  <c r="E14" i="5" a="1"/>
  <c r="G14" i="5" a="1"/>
  <c r="C12" i="4"/>
  <c r="C13" i="6"/>
  <c r="E12" i="6" a="1"/>
  <c r="E14" i="2" a="1"/>
  <c r="C15" i="2"/>
  <c r="D15" i="12" l="1" a="1"/>
  <c r="G14" i="12"/>
  <c r="D11" i="10" a="1"/>
  <c r="F18" i="9"/>
  <c r="D19" i="9"/>
  <c r="E19" i="9" s="1" a="1"/>
  <c r="D15" i="5"/>
  <c r="I14" i="5"/>
  <c r="H14" i="5" a="1"/>
  <c r="E12" i="4" a="1"/>
  <c r="D12" i="4" a="1"/>
  <c r="F12" i="4" s="1"/>
  <c r="G12" i="4" s="1"/>
  <c r="F12" i="6"/>
  <c r="D13" i="6"/>
  <c r="F14" i="2"/>
  <c r="D15" i="2"/>
  <c r="E15" i="12" l="1" a="1"/>
  <c r="G15" i="12" s="1"/>
  <c r="F15" i="12" a="1"/>
  <c r="E12" i="10"/>
  <c r="C12" i="10"/>
  <c r="F19" i="9"/>
  <c r="D20" i="9"/>
  <c r="E20" i="9" s="1" a="1"/>
  <c r="C16" i="5"/>
  <c r="F16" i="5" s="1" a="1"/>
  <c r="E15" i="5" a="1"/>
  <c r="G15" i="5" a="1"/>
  <c r="C13" i="4"/>
  <c r="C14" i="6"/>
  <c r="E13" i="6" a="1"/>
  <c r="E15" i="2" a="1"/>
  <c r="C16" i="2"/>
  <c r="D12" i="10" l="1" a="1"/>
  <c r="F20" i="9"/>
  <c r="D21" i="9"/>
  <c r="E21" i="9" s="1" a="1"/>
  <c r="I15" i="5"/>
  <c r="D16" i="5"/>
  <c r="H15" i="5" a="1"/>
  <c r="E13" i="4" a="1"/>
  <c r="D13" i="4" a="1"/>
  <c r="F13" i="4" s="1"/>
  <c r="G13" i="4" s="1"/>
  <c r="F13" i="6"/>
  <c r="D14" i="6"/>
  <c r="F15" i="2"/>
  <c r="D16" i="2"/>
  <c r="C13" i="10" l="1"/>
  <c r="E13" i="10"/>
  <c r="F21" i="9"/>
  <c r="D22" i="9"/>
  <c r="E22" i="9" s="1" a="1"/>
  <c r="G16" i="5" a="1"/>
  <c r="E16" i="5" a="1"/>
  <c r="C14" i="4"/>
  <c r="C15" i="6"/>
  <c r="E14" i="6" a="1"/>
  <c r="E16" i="2" a="1"/>
  <c r="C17" i="2"/>
  <c r="D13" i="10" l="1" a="1"/>
  <c r="F22" i="9"/>
  <c r="D23" i="9"/>
  <c r="E23" i="9" s="1" a="1"/>
  <c r="H16" i="5" a="1"/>
  <c r="I16" i="5"/>
  <c r="D14" i="4" a="1"/>
  <c r="F14" i="4" s="1"/>
  <c r="G14" i="4" s="1"/>
  <c r="E14" i="4" a="1"/>
  <c r="D15" i="6"/>
  <c r="E15" i="6" s="1" a="1"/>
  <c r="F15" i="6" s="1"/>
  <c r="F14" i="6"/>
  <c r="F16" i="2"/>
  <c r="D17" i="2"/>
  <c r="E14" i="10" l="1"/>
  <c r="C14" i="10"/>
  <c r="F23" i="9"/>
  <c r="D24" i="9"/>
  <c r="E24" i="9" s="1" a="1"/>
  <c r="C15" i="4"/>
  <c r="E17" i="2" a="1"/>
  <c r="C18" i="2"/>
  <c r="D14" i="10" l="1" a="1"/>
  <c r="F24" i="9"/>
  <c r="D25" i="9"/>
  <c r="E25" i="9" s="1" a="1"/>
  <c r="D15" i="4" a="1"/>
  <c r="E15" i="4" a="1"/>
  <c r="F17" i="2"/>
  <c r="D18" i="2"/>
  <c r="E15" i="10" l="1"/>
  <c r="C15" i="10"/>
  <c r="F25" i="9"/>
  <c r="D26" i="9"/>
  <c r="E26" i="9" s="1" a="1"/>
  <c r="F15" i="4"/>
  <c r="G15" i="4" s="1"/>
  <c r="E18" i="2" a="1"/>
  <c r="C19" i="2"/>
  <c r="D15" i="10" l="1" a="1"/>
  <c r="F26" i="9"/>
  <c r="D27" i="9"/>
  <c r="E27" i="9" s="1" a="1"/>
  <c r="D19" i="2"/>
  <c r="F18" i="2"/>
  <c r="E16" i="10" l="1"/>
  <c r="C16" i="10"/>
  <c r="F27" i="9"/>
  <c r="D28" i="9"/>
  <c r="E28" i="9" s="1" a="1"/>
  <c r="F28" i="9" s="1"/>
  <c r="E19" i="2" a="1"/>
  <c r="C20" i="2"/>
  <c r="D16" i="10" l="1" a="1"/>
  <c r="F19" i="2"/>
  <c r="D20" i="2"/>
  <c r="C17" i="10" l="1"/>
  <c r="E17" i="10"/>
  <c r="E20" i="2" a="1"/>
  <c r="C21" i="2"/>
  <c r="D17" i="10" l="1" a="1"/>
  <c r="D21" i="2"/>
  <c r="F20" i="2"/>
  <c r="C18" i="10" l="1"/>
  <c r="E18" i="10"/>
  <c r="E21" i="2" a="1"/>
  <c r="C22" i="2"/>
  <c r="D18" i="10" l="1" a="1"/>
  <c r="F21" i="2"/>
  <c r="D22" i="2"/>
  <c r="E22" i="2" l="1" a="1"/>
  <c r="C23" i="2"/>
  <c r="F22" i="2" l="1"/>
  <c r="D23" i="2"/>
  <c r="E23" i="2" l="1" a="1"/>
  <c r="C24" i="2"/>
  <c r="D24" i="2" l="1"/>
  <c r="E24" i="2" s="1" a="1"/>
  <c r="F24" i="2" s="1"/>
  <c r="F23" i="2"/>
  <c r="G7" i="8" a="1"/>
  <c r="F8" i="8" a="1"/>
  <c r="H7" i="8" a="1"/>
  <c r="I8" i="8" l="1"/>
  <c r="G8" i="8" a="1"/>
  <c r="H8" i="8" a="1"/>
  <c r="C9" i="8" a="1"/>
  <c r="D9" i="8" a="1"/>
  <c r="E9" i="8" s="1"/>
  <c r="F9" i="8" l="1" a="1"/>
  <c r="C10" i="8" a="1"/>
  <c r="I9" i="8"/>
  <c r="D10" i="8" a="1"/>
  <c r="E10" i="8" s="1"/>
  <c r="G9" i="8" a="1"/>
  <c r="C11" i="8" l="1" a="1"/>
  <c r="F10" i="8" a="1"/>
  <c r="H9" i="8" a="1"/>
  <c r="I10" i="8"/>
  <c r="G10" i="8" a="1"/>
  <c r="D11" i="8" a="1"/>
  <c r="E11" i="8" s="1"/>
  <c r="C12" i="8" l="1" a="1"/>
  <c r="F11" i="8" a="1"/>
  <c r="H10" i="8" a="1"/>
  <c r="I11" i="8"/>
  <c r="D12" i="8" a="1"/>
  <c r="E12" i="8" s="1"/>
  <c r="G11" i="8" a="1"/>
  <c r="C13" i="8" l="1" a="1"/>
  <c r="F12" i="8" a="1"/>
  <c r="H11" i="8" a="1"/>
  <c r="I12" i="8"/>
  <c r="D13" i="8" a="1"/>
  <c r="E13" i="8" s="1"/>
  <c r="G12" i="8" a="1"/>
  <c r="C14" i="8" l="1" a="1"/>
  <c r="F13" i="8" a="1"/>
  <c r="H12" i="8" a="1"/>
  <c r="I13" i="8"/>
  <c r="D14" i="8" a="1"/>
  <c r="E14" i="8" s="1"/>
  <c r="G13" i="8" a="1"/>
  <c r="F14" i="8" l="1" a="1"/>
  <c r="C15" i="8" a="1"/>
  <c r="H13" i="8" a="1"/>
  <c r="I14" i="8"/>
  <c r="D15" i="8" a="1"/>
  <c r="G14" i="8" a="1"/>
  <c r="F15" i="8" l="1" a="1"/>
  <c r="C16" i="8" a="1"/>
  <c r="E15" i="8"/>
  <c r="I15" i="8" s="1"/>
  <c r="D16" i="8" a="1"/>
  <c r="H14" i="8" a="1"/>
  <c r="G15" i="8" a="1"/>
  <c r="C17" i="8" l="1" a="1"/>
  <c r="F16" i="8" a="1"/>
  <c r="D17" i="8" a="1"/>
  <c r="G16" i="8" a="1"/>
  <c r="E16" i="8"/>
  <c r="H15" i="8" a="1"/>
  <c r="C18" i="8" l="1" a="1"/>
  <c r="F17" i="8" a="1"/>
  <c r="D18" i="8" a="1"/>
  <c r="G17" i="8" a="1"/>
  <c r="E17" i="8"/>
  <c r="I16" i="8"/>
  <c r="H16" i="8" a="1"/>
  <c r="C19" i="8" l="1" a="1"/>
  <c r="F18" i="8" a="1"/>
  <c r="G18" i="8" a="1"/>
  <c r="D19" i="8" a="1"/>
  <c r="E18" i="8"/>
  <c r="I17" i="8"/>
  <c r="H17" i="8" a="1"/>
  <c r="C20" i="8" l="1" a="1"/>
  <c r="F20" i="8" s="1" a="1"/>
  <c r="F19" i="8" a="1"/>
  <c r="D20" i="8" a="1"/>
  <c r="G19" i="8" a="1"/>
  <c r="E19" i="8"/>
  <c r="I18" i="8"/>
  <c r="H18" i="8" a="1"/>
  <c r="E20" i="8" l="1"/>
  <c r="D21" i="8" a="1"/>
  <c r="G20" i="8" a="1"/>
  <c r="H19" i="8" a="1"/>
  <c r="I19" i="8"/>
  <c r="I20" i="8" l="1"/>
  <c r="H20" i="8" a="1"/>
  <c r="C21" i="8" a="1"/>
  <c r="G21" i="8" a="1"/>
  <c r="F21" i="8" l="1" a="1"/>
  <c r="E21" i="8"/>
  <c r="C22" i="8" l="1" a="1"/>
  <c r="F22" i="8" s="1" a="1"/>
  <c r="H21" i="8" a="1"/>
  <c r="I21" i="8"/>
  <c r="D22" i="8" a="1"/>
  <c r="G22" i="8" l="1" a="1"/>
  <c r="D23" i="8" a="1"/>
  <c r="E22" i="8"/>
  <c r="G23" i="8" l="1" a="1"/>
  <c r="I22" i="8"/>
  <c r="H22" i="8" a="1"/>
  <c r="C23" i="8" a="1"/>
  <c r="F23" i="8" l="1" a="1"/>
  <c r="E23" i="8"/>
  <c r="C24" i="8" l="1" a="1"/>
  <c r="F24" i="8" s="1" a="1"/>
  <c r="H23" i="8" a="1"/>
  <c r="I23" i="8"/>
  <c r="D24" i="8" a="1"/>
  <c r="G24" i="8" l="1" a="1"/>
  <c r="D25" i="8" a="1"/>
  <c r="E24" i="8"/>
  <c r="G25" i="8" l="1" a="1"/>
  <c r="I24" i="8"/>
  <c r="H24" i="8" a="1"/>
  <c r="C25" i="8" a="1"/>
  <c r="F25" i="8" l="1" a="1"/>
  <c r="E25" i="8"/>
  <c r="H25" i="8" l="1" a="1"/>
  <c r="I25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<sst xmlns="http://schemas.openxmlformats.org/spreadsheetml/2006/main" count="72" uniqueCount="32">
  <si>
    <t>a</t>
  </si>
  <si>
    <t>b</t>
  </si>
  <si>
    <t>a=</t>
  </si>
  <si>
    <t>b=</t>
  </si>
  <si>
    <t>f(a)</t>
  </si>
  <si>
    <t>f(b)</t>
  </si>
  <si>
    <t>P0=</t>
  </si>
  <si>
    <t>P1=</t>
  </si>
  <si>
    <t>i</t>
  </si>
  <si>
    <t>P0</t>
  </si>
  <si>
    <t>P1</t>
  </si>
  <si>
    <t>P2</t>
  </si>
  <si>
    <t>Error</t>
  </si>
  <si>
    <t>Error Max=</t>
  </si>
  <si>
    <t>c</t>
  </si>
  <si>
    <t>f(c)</t>
  </si>
  <si>
    <t>Error Maximo=</t>
  </si>
  <si>
    <t>F(Pi)</t>
  </si>
  <si>
    <t>F'(Pi)</t>
  </si>
  <si>
    <t>Pi+1</t>
  </si>
  <si>
    <t>Pi</t>
  </si>
  <si>
    <t xml:space="preserve">P1= </t>
  </si>
  <si>
    <t>c=b-a/2</t>
  </si>
  <si>
    <t>Error=</t>
  </si>
  <si>
    <t>j</t>
  </si>
  <si>
    <t>Pn</t>
  </si>
  <si>
    <t>P(n+1)</t>
  </si>
  <si>
    <t>P(n+2)</t>
  </si>
  <si>
    <t>STEFFENSEN</t>
  </si>
  <si>
    <t>Pj+1</t>
  </si>
  <si>
    <t>^P</t>
  </si>
  <si>
    <t>Pj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</si>
</sst>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/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854C7-6DF9-41AF-9FAB-D9E579E2DCDD}">
  <sheetPr codeName="Hoja2"/>
  <dimension ref="B3:F46"/>
  <sheetViews>
    <sheetView zoomScale="154" workbookViewId="0">
      <selection activeCell="E4" sqref="E4"/>
    </sheetView>
  </sheetViews>
  <sheetFormatPr baseColWidth="10" defaultRowHeight="14.4" x14ac:dyDescent="0.3"/>
  <cols>
    <col min="3" max="4" width="17.6640625" customWidth="1"/>
    <col min="5" max="5" width="15.6640625" customWidth="1"/>
  </cols>
  <sheetData>
    <row r="3" spans="2:6" x14ac:dyDescent="0.3">
      <c r="B3" t="s">
        <v>6</v>
      </c>
      <c r="C3">
        <v>0</v>
      </c>
    </row>
    <row r="4" spans="2:6" x14ac:dyDescent="0.3">
      <c r="B4" t="s">
        <v>7</v>
      </c>
      <c r="C4">
        <v>1</v>
      </c>
    </row>
    <row r="7" spans="2:6" x14ac:dyDescent="0.3">
      <c r="B7" s="1" t="s">
        <v>8</v>
      </c>
      <c r="C7" s="1" t="s">
        <v>9</v>
      </c>
      <c r="D7" s="1" t="s">
        <v>10</v>
      </c>
      <c r="E7" s="1" t="s">
        <v>11</v>
      </c>
      <c r="F7" s="1" t="s">
        <v>12</v>
      </c>
    </row>
    <row r="8" spans="2:6" x14ac:dyDescent="0.3">
      <c r="B8" s="1">
        <v>1</v>
      </c>
      <c r="C8" s="1">
        <f>C3</f>
        <v>0</v>
      </c>
      <c r="D8" s="1">
        <f>C4</f>
        <v>1</v>
      </c>
      <c r="E8" s="1" cm="1">
        <f t="array" ref="E8">p2_Secante(C8,D8)</f>
        <v>0.54545454545454541</v>
      </c>
      <c r="F8" s="1">
        <f>ABS(E8-D8)</f>
        <v>0.45454545454545459</v>
      </c>
    </row>
    <row r="9" spans="2:6" x14ac:dyDescent="0.3">
      <c r="B9" s="1">
        <f>B8+1</f>
        <v>2</v>
      </c>
      <c r="C9" s="1">
        <f>D8</f>
        <v>1</v>
      </c>
      <c r="D9" s="1">
        <f>E8</f>
        <v>0.54545454545454541</v>
      </c>
      <c r="E9" s="1" cm="1">
        <f t="array" ref="E9">p2_Secante(C9,D9)</f>
        <v>0.72055427251732096</v>
      </c>
      <c r="F9" s="1">
        <f>ABS(E9-D9)</f>
        <v>0.17509972706277555</v>
      </c>
    </row>
    <row r="10" spans="2:6" x14ac:dyDescent="0.3">
      <c r="B10" s="1">
        <f t="shared" ref="B10:B33" si="0">B9+1</f>
        <v>3</v>
      </c>
      <c r="C10" s="1">
        <f t="shared" ref="C10:D24" si="1">D9</f>
        <v>0.54545454545454541</v>
      </c>
      <c r="D10" s="1">
        <f>E9</f>
        <v>0.72055427251732096</v>
      </c>
      <c r="E10" s="1" cm="1">
        <f t="array" ref="E10">p2_Secante(C10,D10)</f>
        <v>0.77318665226670413</v>
      </c>
      <c r="F10" s="1">
        <f t="shared" ref="F10:F24" si="2">ABS(E10-D10)</f>
        <v>5.2632379749383174E-2</v>
      </c>
    </row>
    <row r="11" spans="2:6" x14ac:dyDescent="0.3">
      <c r="B11" s="1">
        <f t="shared" si="0"/>
        <v>4</v>
      </c>
      <c r="C11" s="1">
        <f t="shared" si="1"/>
        <v>0.72055427251732096</v>
      </c>
      <c r="D11" s="1">
        <f t="shared" si="1"/>
        <v>0.77318665226670413</v>
      </c>
      <c r="E11" s="1" cm="1">
        <f t="array" ref="E11">p2_Secante(C11,D11)</f>
        <v>0.76321663548450713</v>
      </c>
      <c r="F11" s="1">
        <f t="shared" si="2"/>
        <v>9.9700167821969998E-3</v>
      </c>
    </row>
    <row r="12" spans="2:6" x14ac:dyDescent="0.3">
      <c r="B12" s="1">
        <f t="shared" si="0"/>
        <v>5</v>
      </c>
      <c r="C12" s="1">
        <f t="shared" si="1"/>
        <v>0.77318665226670413</v>
      </c>
      <c r="D12" s="1">
        <f t="shared" si="1"/>
        <v>0.76321663548450713</v>
      </c>
      <c r="E12" s="1" cm="1">
        <f t="array" ref="E12">p2_Secante(C12,D12)</f>
        <v>0.7635735567961881</v>
      </c>
      <c r="F12" s="1">
        <f t="shared" si="2"/>
        <v>3.5692131168096886E-4</v>
      </c>
    </row>
    <row r="13" spans="2:6" x14ac:dyDescent="0.3">
      <c r="B13" s="1">
        <f t="shared" si="0"/>
        <v>6</v>
      </c>
      <c r="C13" s="1">
        <f t="shared" si="1"/>
        <v>0.76321663548450713</v>
      </c>
      <c r="D13" s="1">
        <f t="shared" si="1"/>
        <v>0.7635735567961881</v>
      </c>
      <c r="E13" s="1" cm="1">
        <f t="array" ref="E13">p2_Secante(C13,D13)</f>
        <v>0.76357648495003483</v>
      </c>
      <c r="F13" s="1">
        <f t="shared" si="2"/>
        <v>2.9281538467262891E-6</v>
      </c>
    </row>
    <row r="14" spans="2:6" x14ac:dyDescent="0.3">
      <c r="B14" s="1">
        <f t="shared" si="0"/>
        <v>7</v>
      </c>
      <c r="C14" s="1">
        <f t="shared" si="1"/>
        <v>0.7635735567961881</v>
      </c>
      <c r="D14" s="1">
        <f t="shared" si="1"/>
        <v>0.76357648495003483</v>
      </c>
      <c r="E14" s="1" cm="1">
        <f t="array" ref="E14">p2_Secante(C14,D14)</f>
        <v>0.76357648405281542</v>
      </c>
      <c r="F14" s="1">
        <f t="shared" si="2"/>
        <v>8.9721940987885773E-10</v>
      </c>
    </row>
    <row r="15" spans="2:6" x14ac:dyDescent="0.3">
      <c r="B15" s="1">
        <f t="shared" si="0"/>
        <v>8</v>
      </c>
      <c r="C15" s="1">
        <f t="shared" si="1"/>
        <v>0.76357648495003483</v>
      </c>
      <c r="D15" s="1">
        <f t="shared" si="1"/>
        <v>0.76357648405281542</v>
      </c>
      <c r="E15" s="1" cm="1">
        <f t="array" ref="E15">p2_Secante(C15,D15)</f>
        <v>0.76357648405281764</v>
      </c>
      <c r="F15" s="1">
        <f t="shared" si="2"/>
        <v>2.2204460492503131E-15</v>
      </c>
    </row>
    <row r="16" spans="2:6" x14ac:dyDescent="0.3">
      <c r="B16" s="1">
        <f t="shared" si="0"/>
        <v>9</v>
      </c>
      <c r="C16" s="1">
        <f t="shared" si="1"/>
        <v>0.76357648405281542</v>
      </c>
      <c r="D16" s="1">
        <f t="shared" si="1"/>
        <v>0.76357648405281764</v>
      </c>
      <c r="E16" s="1" cm="1">
        <f t="array" ref="E16">p2_Secante(C16,D16)</f>
        <v>0.76357648405281764</v>
      </c>
      <c r="F16" s="1">
        <f t="shared" si="2"/>
        <v>0</v>
      </c>
    </row>
    <row r="17" spans="2:6" x14ac:dyDescent="0.3">
      <c r="B17" s="1">
        <f t="shared" si="0"/>
        <v>10</v>
      </c>
      <c r="C17" s="1">
        <f t="shared" si="1"/>
        <v>0.76357648405281764</v>
      </c>
      <c r="D17" s="1">
        <f t="shared" si="1"/>
        <v>0.76357648405281764</v>
      </c>
      <c r="E17" s="1" t="e" cm="1">
        <f t="array" ref="E17">p2_Secante(C17,D17)</f>
        <v>#VALUE!</v>
      </c>
      <c r="F17" s="1" t="e">
        <f t="shared" si="2"/>
        <v>#VALUE!</v>
      </c>
    </row>
    <row r="18" spans="2:6" x14ac:dyDescent="0.3">
      <c r="B18" s="1">
        <f t="shared" si="0"/>
        <v>11</v>
      </c>
      <c r="C18" s="1">
        <f t="shared" si="1"/>
        <v>0.76357648405281764</v>
      </c>
      <c r="D18" s="1" t="e">
        <f t="shared" si="1"/>
        <v>#VALUE!</v>
      </c>
      <c r="E18" s="1" t="e" cm="1">
        <f t="array" ref="E18">p2_Secante(C18,D18)</f>
        <v>#VALUE!</v>
      </c>
      <c r="F18" s="1" t="e">
        <f t="shared" si="2"/>
        <v>#VALUE!</v>
      </c>
    </row>
    <row r="19" spans="2:6" x14ac:dyDescent="0.3">
      <c r="B19" s="1">
        <f t="shared" si="0"/>
        <v>12</v>
      </c>
      <c r="C19" s="1" t="e">
        <f t="shared" si="1"/>
        <v>#VALUE!</v>
      </c>
      <c r="D19" s="1" t="e">
        <f t="shared" si="1"/>
        <v>#VALUE!</v>
      </c>
      <c r="E19" s="1" t="e" cm="1">
        <f t="array" ref="E19">p2_Secante(C19,D19)</f>
        <v>#VALUE!</v>
      </c>
      <c r="F19" s="1" t="e">
        <f t="shared" si="2"/>
        <v>#VALUE!</v>
      </c>
    </row>
    <row r="20" spans="2:6" x14ac:dyDescent="0.3">
      <c r="B20" s="1">
        <f t="shared" si="0"/>
        <v>13</v>
      </c>
      <c r="C20" s="1" t="e">
        <f t="shared" si="1"/>
        <v>#VALUE!</v>
      </c>
      <c r="D20" s="1" t="e">
        <f t="shared" si="1"/>
        <v>#VALUE!</v>
      </c>
      <c r="E20" s="1" t="e" cm="1">
        <f t="array" ref="E20">p2_Secante(C20,D20)</f>
        <v>#VALUE!</v>
      </c>
      <c r="F20" s="1" t="e">
        <f t="shared" si="2"/>
        <v>#VALUE!</v>
      </c>
    </row>
    <row r="21" spans="2:6" x14ac:dyDescent="0.3">
      <c r="B21" s="1">
        <f t="shared" si="0"/>
        <v>14</v>
      </c>
      <c r="C21" s="1" t="e">
        <f t="shared" si="1"/>
        <v>#VALUE!</v>
      </c>
      <c r="D21" s="1" t="e">
        <f t="shared" si="1"/>
        <v>#VALUE!</v>
      </c>
      <c r="E21" s="1" t="e" cm="1">
        <f t="array" ref="E21">p2_Secante(C21,D21)</f>
        <v>#VALUE!</v>
      </c>
      <c r="F21" s="1" t="e">
        <f t="shared" si="2"/>
        <v>#VALUE!</v>
      </c>
    </row>
    <row r="22" spans="2:6" x14ac:dyDescent="0.3">
      <c r="B22" s="1">
        <f t="shared" si="0"/>
        <v>15</v>
      </c>
      <c r="C22" s="1" t="e">
        <f t="shared" si="1"/>
        <v>#VALUE!</v>
      </c>
      <c r="D22" s="1" t="e">
        <f t="shared" si="1"/>
        <v>#VALUE!</v>
      </c>
      <c r="E22" s="1" t="e" cm="1">
        <f t="array" ref="E22">p2_Secante(C22,D22)</f>
        <v>#VALUE!</v>
      </c>
      <c r="F22" s="1" t="e">
        <f t="shared" si="2"/>
        <v>#VALUE!</v>
      </c>
    </row>
    <row r="23" spans="2:6" x14ac:dyDescent="0.3">
      <c r="B23" s="1">
        <f t="shared" si="0"/>
        <v>16</v>
      </c>
      <c r="C23" s="1" t="e">
        <f t="shared" si="1"/>
        <v>#VALUE!</v>
      </c>
      <c r="D23" s="1" t="e">
        <f t="shared" si="1"/>
        <v>#VALUE!</v>
      </c>
      <c r="E23" s="1" t="e" cm="1">
        <f t="array" ref="E23">p2_Secante(C23,D23)</f>
        <v>#VALUE!</v>
      </c>
      <c r="F23" s="1" t="e">
        <f t="shared" si="2"/>
        <v>#VALUE!</v>
      </c>
    </row>
    <row r="24" spans="2:6" x14ac:dyDescent="0.3">
      <c r="B24" s="1">
        <f t="shared" si="0"/>
        <v>17</v>
      </c>
      <c r="C24" s="1" t="e">
        <f t="shared" si="1"/>
        <v>#VALUE!</v>
      </c>
      <c r="D24" s="1" t="e">
        <f t="shared" si="1"/>
        <v>#VALUE!</v>
      </c>
      <c r="E24" s="1" t="e" cm="1">
        <f t="array" ref="E24">p2_Secante(C24,D24)</f>
        <v>#VALUE!</v>
      </c>
      <c r="F24" s="1" t="e">
        <f t="shared" si="2"/>
        <v>#VALUE!</v>
      </c>
    </row>
    <row r="25" spans="2:6" x14ac:dyDescent="0.3">
      <c r="B25" s="1">
        <f t="shared" si="0"/>
        <v>18</v>
      </c>
      <c r="C25" s="1"/>
      <c r="D25" s="1"/>
      <c r="E25" s="1"/>
      <c r="F25" s="1"/>
    </row>
    <row r="26" spans="2:6" x14ac:dyDescent="0.3">
      <c r="B26" s="1">
        <f t="shared" si="0"/>
        <v>19</v>
      </c>
      <c r="C26" s="1"/>
      <c r="D26" s="1"/>
      <c r="E26" s="1"/>
      <c r="F26" s="1"/>
    </row>
    <row r="27" spans="2:6" x14ac:dyDescent="0.3">
      <c r="B27" s="1">
        <f t="shared" si="0"/>
        <v>20</v>
      </c>
      <c r="C27" s="1"/>
      <c r="D27" s="1"/>
      <c r="E27" s="1"/>
      <c r="F27" s="1"/>
    </row>
    <row r="28" spans="2:6" x14ac:dyDescent="0.3">
      <c r="B28" s="1">
        <f t="shared" si="0"/>
        <v>21</v>
      </c>
      <c r="C28" s="1"/>
      <c r="D28" s="1"/>
      <c r="E28" s="1"/>
      <c r="F28" s="1"/>
    </row>
    <row r="29" spans="2:6" x14ac:dyDescent="0.3">
      <c r="B29" s="1">
        <f t="shared" si="0"/>
        <v>22</v>
      </c>
      <c r="C29" s="1"/>
      <c r="D29" s="1"/>
      <c r="E29" s="1"/>
      <c r="F29" s="1"/>
    </row>
    <row r="30" spans="2:6" x14ac:dyDescent="0.3">
      <c r="B30" s="1">
        <f t="shared" si="0"/>
        <v>23</v>
      </c>
      <c r="C30" s="1"/>
      <c r="D30" s="1"/>
      <c r="E30" s="1"/>
      <c r="F30" s="1"/>
    </row>
    <row r="31" spans="2:6" x14ac:dyDescent="0.3">
      <c r="B31" s="1">
        <f t="shared" si="0"/>
        <v>24</v>
      </c>
      <c r="C31" s="1"/>
      <c r="D31" s="1"/>
      <c r="E31" s="1"/>
      <c r="F31" s="1"/>
    </row>
    <row r="32" spans="2:6" x14ac:dyDescent="0.3">
      <c r="B32" s="1">
        <f t="shared" si="0"/>
        <v>25</v>
      </c>
      <c r="C32" s="1"/>
      <c r="D32" s="1"/>
      <c r="E32" s="1"/>
      <c r="F32" s="1"/>
    </row>
    <row r="33" spans="2:6" x14ac:dyDescent="0.3">
      <c r="B33" s="1">
        <f t="shared" si="0"/>
        <v>26</v>
      </c>
      <c r="C33" s="1"/>
      <c r="D33" s="1"/>
      <c r="E33" s="1"/>
      <c r="F33" s="1"/>
    </row>
    <row r="34" spans="2:6" x14ac:dyDescent="0.3">
      <c r="B34" s="1"/>
      <c r="C34" s="1"/>
      <c r="D34" s="1"/>
      <c r="E34" s="1"/>
      <c r="F34" s="1"/>
    </row>
    <row r="35" spans="2:6" x14ac:dyDescent="0.3">
      <c r="B35" s="1"/>
      <c r="C35" s="1"/>
      <c r="D35" s="1"/>
      <c r="E35" s="1"/>
      <c r="F35" s="1"/>
    </row>
    <row r="36" spans="2:6" x14ac:dyDescent="0.3">
      <c r="B36" s="1"/>
      <c r="C36" s="1"/>
      <c r="D36" s="1"/>
      <c r="E36" s="1"/>
      <c r="F36" s="1"/>
    </row>
    <row r="37" spans="2:6" x14ac:dyDescent="0.3">
      <c r="B37" s="1"/>
      <c r="C37" s="1"/>
      <c r="D37" s="1"/>
      <c r="E37" s="1"/>
      <c r="F37" s="1"/>
    </row>
    <row r="38" spans="2:6" x14ac:dyDescent="0.3">
      <c r="B38" s="1"/>
      <c r="C38" s="1"/>
      <c r="D38" s="1"/>
      <c r="E38" s="1"/>
      <c r="F38" s="1"/>
    </row>
    <row r="39" spans="2:6" x14ac:dyDescent="0.3">
      <c r="B39" s="1"/>
      <c r="C39" s="1"/>
      <c r="D39" s="1"/>
      <c r="E39" s="1"/>
      <c r="F39" s="1"/>
    </row>
    <row r="40" spans="2:6" x14ac:dyDescent="0.3">
      <c r="B40" s="1"/>
      <c r="C40" s="1"/>
      <c r="D40" s="1"/>
      <c r="E40" s="1"/>
      <c r="F40" s="1"/>
    </row>
    <row r="41" spans="2:6" x14ac:dyDescent="0.3">
      <c r="B41" s="1"/>
      <c r="C41" s="1"/>
      <c r="D41" s="1"/>
      <c r="E41" s="1"/>
      <c r="F41" s="1"/>
    </row>
    <row r="42" spans="2:6" x14ac:dyDescent="0.3">
      <c r="B42" s="1"/>
      <c r="C42" s="1"/>
      <c r="D42" s="1"/>
      <c r="E42" s="1"/>
      <c r="F42" s="1"/>
    </row>
    <row r="43" spans="2:6" x14ac:dyDescent="0.3">
      <c r="B43" s="1"/>
      <c r="C43" s="1"/>
      <c r="D43" s="1"/>
      <c r="E43" s="1"/>
      <c r="F43" s="1"/>
    </row>
    <row r="44" spans="2:6" x14ac:dyDescent="0.3">
      <c r="B44" s="1"/>
      <c r="C44" s="1"/>
      <c r="D44" s="1"/>
      <c r="E44" s="1"/>
      <c r="F44" s="1"/>
    </row>
    <row r="45" spans="2:6" x14ac:dyDescent="0.3">
      <c r="B45" s="1"/>
      <c r="C45" s="1"/>
      <c r="D45" s="1"/>
      <c r="E45" s="1"/>
      <c r="F45" s="1"/>
    </row>
    <row r="46" spans="2:6" x14ac:dyDescent="0.3">
      <c r="B46" s="1"/>
      <c r="C46" s="1"/>
      <c r="D46" s="1"/>
      <c r="E46" s="1"/>
      <c r="F46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C9449-4673-4347-B882-63DE43B68C87}">
  <sheetPr codeName="Hoja8"/>
  <dimension ref="B2:I25"/>
  <sheetViews>
    <sheetView topLeftCell="A9" zoomScale="123" workbookViewId="0">
      <selection activeCell="B2" sqref="B2:B3"/>
    </sheetView>
  </sheetViews>
  <sheetFormatPr baseColWidth="10" defaultRowHeight="14.4" x14ac:dyDescent="0.3"/>
  <cols>
    <col min="2" max="2" width="12.5546875" bestFit="1" customWidth="1"/>
  </cols>
  <sheetData>
    <row r="2" spans="2:9" x14ac:dyDescent="0.3">
      <c r="B2" s="4" t="s">
        <v>2</v>
      </c>
      <c r="C2" s="3">
        <v>0</v>
      </c>
    </row>
    <row r="3" spans="2:9" x14ac:dyDescent="0.3">
      <c r="B3" s="4" t="s">
        <v>3</v>
      </c>
      <c r="C3" s="3">
        <v>1</v>
      </c>
    </row>
    <row r="5" spans="2:9" x14ac:dyDescent="0.3">
      <c r="B5" s="4" t="s">
        <v>8</v>
      </c>
      <c r="C5" s="4" t="s">
        <v>0</v>
      </c>
      <c r="D5" s="4" t="s">
        <v>1</v>
      </c>
      <c r="E5" s="4" t="s">
        <v>22</v>
      </c>
      <c r="F5" s="4" t="s">
        <v>4</v>
      </c>
      <c r="G5" s="4" t="s">
        <v>5</v>
      </c>
      <c r="H5" s="4" t="s">
        <v>15</v>
      </c>
      <c r="I5" s="4" t="s">
        <v>12</v>
      </c>
    </row>
    <row r="6" spans="2:9" x14ac:dyDescent="0.3">
      <c r="B6" s="3">
        <v>1</v>
      </c>
      <c r="C6" s="3">
        <f>C2</f>
        <v>0</v>
      </c>
      <c r="D6" s="3">
        <f>C3</f>
        <v>1</v>
      </c>
      <c r="E6" s="3">
        <f>(D6+C6)/2</f>
        <v>0.5</v>
      </c>
      <c r="F6" s="3" t="str" cm="1">
        <f t="array" ref="F6">IF(Func(C6)&gt;0,"+","-")</f>
        <v>+</v>
      </c>
      <c r="G6" s="3" t="str" cm="1">
        <f t="array" ref="G6">IF(Func(D6)&gt;0,"+","-")</f>
        <v>-</v>
      </c>
      <c r="H6" s="3" t="str" cm="1">
        <f t="array" ref="H6">IF(Func(E6)&gt;0,"+","-")</f>
        <v>+</v>
      </c>
      <c r="I6" s="3">
        <f>ABS(E6-D6)</f>
        <v>0.5</v>
      </c>
    </row>
    <row r="7" spans="2:9" x14ac:dyDescent="0.3">
      <c r="B7" s="3">
        <v>2</v>
      </c>
      <c r="C7" s="3" cm="1">
        <f t="array" ref="C7">IF(Func(C6)*Func(E6)&lt;0,C6,E6)</f>
        <v>0.5</v>
      </c>
      <c r="D7" s="3" cm="1">
        <f t="array" ref="D7">IF(Func(D6)*Func(E6)&lt;0,D6,E6)</f>
        <v>1</v>
      </c>
      <c r="E7" s="3">
        <f t="shared" ref="E7:E18" si="0">(D7+C7)/2</f>
        <v>0.75</v>
      </c>
      <c r="F7" s="3" t="str" cm="1">
        <f t="array" ref="F7">IF(Func(C7)&gt;0,"+","-")</f>
        <v>+</v>
      </c>
      <c r="G7" s="3" t="str" cm="1">
        <f t="array" ref="G7">IF(Func(D7)&gt;0,"+","-")</f>
        <v>-</v>
      </c>
      <c r="H7" s="3" t="str" cm="1">
        <f t="array" ref="H7">IF(Func(E7)&gt;0,"+","-")</f>
        <v>+</v>
      </c>
      <c r="I7" s="3">
        <f t="shared" ref="I7:I15" si="1">ABS(E7-D7)</f>
        <v>0.25</v>
      </c>
    </row>
    <row r="8" spans="2:9" x14ac:dyDescent="0.3">
      <c r="B8" s="3">
        <v>3</v>
      </c>
      <c r="C8" s="3" cm="1">
        <f t="array" ref="C8">IF(Func(C7)*Func(E7)&lt;0,C7,E7)</f>
        <v>0.75</v>
      </c>
      <c r="D8" s="3" cm="1">
        <f t="array" ref="D8">IF(Func(D7)*Func(E7)&lt;0,D7,E7)</f>
        <v>1</v>
      </c>
      <c r="E8" s="3">
        <f t="shared" si="0"/>
        <v>0.875</v>
      </c>
      <c r="F8" s="3" t="str" cm="1">
        <f t="array" ref="F8">IF(Func(C8)&gt;0,"+","-")</f>
        <v>+</v>
      </c>
      <c r="G8" s="3" t="str" cm="1">
        <f t="array" ref="G8">IF(Func(D8)&gt;0,"+","-")</f>
        <v>-</v>
      </c>
      <c r="H8" s="3" t="str" cm="1">
        <f t="array" ref="H8">IF(Func(E8)&gt;0,"+","-")</f>
        <v>-</v>
      </c>
      <c r="I8" s="3">
        <f t="shared" si="1"/>
        <v>0.125</v>
      </c>
    </row>
    <row r="9" spans="2:9" x14ac:dyDescent="0.3">
      <c r="B9" s="3">
        <v>4</v>
      </c>
      <c r="C9" s="3" cm="1">
        <f t="array" ref="C9">IF(Func(C8)*Func(E8)&lt;0,C8,E8)</f>
        <v>0.75</v>
      </c>
      <c r="D9" s="3" cm="1">
        <f t="array" ref="D9">IF(Func(D8)*Func(E8)&lt;0,D8,E8)</f>
        <v>0.875</v>
      </c>
      <c r="E9" s="3">
        <f t="shared" si="0"/>
        <v>0.8125</v>
      </c>
      <c r="F9" s="3" t="str" cm="1">
        <f t="array" ref="F9">IF(Func(C9)&gt;0,"+","-")</f>
        <v>+</v>
      </c>
      <c r="G9" s="3" t="str" cm="1">
        <f t="array" ref="G9">IF(Func(D9)&gt;0,"+","-")</f>
        <v>-</v>
      </c>
      <c r="H9" s="3" t="str" cm="1">
        <f t="array" ref="H9">IF(Func(E9)&gt;0,"+","-")</f>
        <v>-</v>
      </c>
      <c r="I9" s="3">
        <f t="shared" si="1"/>
        <v>6.25E-2</v>
      </c>
    </row>
    <row r="10" spans="2:9" x14ac:dyDescent="0.3">
      <c r="B10" s="3">
        <v>5</v>
      </c>
      <c r="C10" s="3" cm="1">
        <f t="array" ref="C10">IF(Func(C9)*Func(E9)&lt;0,C9,E9)</f>
        <v>0.75</v>
      </c>
      <c r="D10" s="3" cm="1">
        <f t="array" ref="D10">IF(Func(D9)*Func(E9)&lt;0,D9,E9)</f>
        <v>0.8125</v>
      </c>
      <c r="E10" s="3">
        <f t="shared" si="0"/>
        <v>0.78125</v>
      </c>
      <c r="F10" s="3" t="str" cm="1">
        <f t="array" ref="F10">IF(Func(C10)&gt;0,"+","-")</f>
        <v>+</v>
      </c>
      <c r="G10" s="3" t="str" cm="1">
        <f t="array" ref="G10">IF(Func(D10)&gt;0,"+","-")</f>
        <v>-</v>
      </c>
      <c r="H10" s="3" t="str" cm="1">
        <f t="array" ref="H10">IF(Func(E10)&gt;0,"+","-")</f>
        <v>-</v>
      </c>
      <c r="I10" s="3">
        <f t="shared" si="1"/>
        <v>3.125E-2</v>
      </c>
    </row>
    <row r="11" spans="2:9" x14ac:dyDescent="0.3">
      <c r="B11" s="3">
        <v>6</v>
      </c>
      <c r="C11" s="3" cm="1">
        <f t="array" ref="C11">IF(Func(C10)*Func(E10)&lt;0,C10,E10)</f>
        <v>0.75</v>
      </c>
      <c r="D11" s="3" cm="1">
        <f t="array" ref="D11">IF(Func(D10)*Func(E10)&lt;0,D10,E10)</f>
        <v>0.78125</v>
      </c>
      <c r="E11" s="3">
        <f t="shared" si="0"/>
        <v>0.765625</v>
      </c>
      <c r="F11" s="3" t="str" cm="1">
        <f t="array" ref="F11">IF(Func(C11)&gt;0,"+","-")</f>
        <v>+</v>
      </c>
      <c r="G11" s="3" t="str" cm="1">
        <f t="array" ref="G11">IF(Func(D11)&gt;0,"+","-")</f>
        <v>-</v>
      </c>
      <c r="H11" s="3" t="str" cm="1">
        <f t="array" ref="H11">IF(Func(E11)&gt;0,"+","-")</f>
        <v>-</v>
      </c>
      <c r="I11" s="3">
        <f t="shared" si="1"/>
        <v>1.5625E-2</v>
      </c>
    </row>
    <row r="12" spans="2:9" x14ac:dyDescent="0.3">
      <c r="B12" s="3">
        <v>7</v>
      </c>
      <c r="C12" s="3" cm="1">
        <f t="array" ref="C12">IF(Func(C11)*Func(E11)&lt;0,C11,E11)</f>
        <v>0.75</v>
      </c>
      <c r="D12" s="3" cm="1">
        <f t="array" ref="D12">IF(Func(D11)*Func(E11)&lt;0,D11,E11)</f>
        <v>0.765625</v>
      </c>
      <c r="E12" s="3">
        <f t="shared" si="0"/>
        <v>0.7578125</v>
      </c>
      <c r="F12" s="3" t="str" cm="1">
        <f t="array" ref="F12">IF(Func(C12)&gt;0,"+","-")</f>
        <v>+</v>
      </c>
      <c r="G12" s="3" t="str" cm="1">
        <f t="array" ref="G12">IF(Func(D12)&gt;0,"+","-")</f>
        <v>-</v>
      </c>
      <c r="H12" s="3" t="str" cm="1">
        <f t="array" ref="H12">IF(Func(E12)&gt;0,"+","-")</f>
        <v>+</v>
      </c>
      <c r="I12" s="3">
        <f t="shared" si="1"/>
        <v>7.8125E-3</v>
      </c>
    </row>
    <row r="13" spans="2:9" x14ac:dyDescent="0.3">
      <c r="B13" s="3">
        <v>8</v>
      </c>
      <c r="C13" s="3" cm="1">
        <f t="array" ref="C13">IF(Func(C12)*Func(E12)&lt;0,C12,E12)</f>
        <v>0.7578125</v>
      </c>
      <c r="D13" s="3" cm="1">
        <f t="array" ref="D13">IF(Func(D12)*Func(E12)&lt;0,D12,E12)</f>
        <v>0.765625</v>
      </c>
      <c r="E13" s="3">
        <f t="shared" si="0"/>
        <v>0.76171875</v>
      </c>
      <c r="F13" s="3" t="str" cm="1">
        <f t="array" ref="F13">IF(Func(C13)&gt;0,"+","-")</f>
        <v>+</v>
      </c>
      <c r="G13" s="3" t="str" cm="1">
        <f t="array" ref="G13">IF(Func(D13)&gt;0,"+","-")</f>
        <v>-</v>
      </c>
      <c r="H13" s="3" t="str" cm="1">
        <f t="array" ref="H13">IF(Func(E13)&gt;0,"+","-")</f>
        <v>+</v>
      </c>
      <c r="I13" s="3">
        <f t="shared" si="1"/>
        <v>3.90625E-3</v>
      </c>
    </row>
    <row r="14" spans="2:9" x14ac:dyDescent="0.3">
      <c r="B14" s="3">
        <v>9</v>
      </c>
      <c r="C14" s="3" cm="1">
        <f t="array" ref="C14">IF(Func(C13)*Func(E13)&lt;0,C13,E13)</f>
        <v>0.76171875</v>
      </c>
      <c r="D14" s="3" cm="1">
        <f t="array" ref="D14">IF(Func(D13)*Func(E13)&lt;0,D13,E13)</f>
        <v>0.765625</v>
      </c>
      <c r="E14" s="3">
        <f t="shared" si="0"/>
        <v>0.763671875</v>
      </c>
      <c r="F14" s="3" t="str" cm="1">
        <f t="array" ref="F14">IF(Func(C14)&gt;0,"+","-")</f>
        <v>+</v>
      </c>
      <c r="G14" s="3" t="str" cm="1">
        <f t="array" ref="G14">IF(Func(D14)&gt;0,"+","-")</f>
        <v>-</v>
      </c>
      <c r="H14" s="3" t="str" cm="1">
        <f t="array" ref="H14">IF(Func(E14)&gt;0,"+","-")</f>
        <v>-</v>
      </c>
      <c r="I14" s="3">
        <f t="shared" si="1"/>
        <v>1.953125E-3</v>
      </c>
    </row>
    <row r="15" spans="2:9" x14ac:dyDescent="0.3">
      <c r="B15" s="3">
        <v>10</v>
      </c>
      <c r="C15" s="3" cm="1">
        <f t="array" ref="C15">IF(Func(C14)*Func(E14)&lt;0,C14,E14)</f>
        <v>0.76171875</v>
      </c>
      <c r="D15" s="3" cm="1">
        <f t="array" ref="D15">IF(Func(D14)*Func(E14)&lt;0,D14,E14)</f>
        <v>0.763671875</v>
      </c>
      <c r="E15" s="3">
        <f t="shared" si="0"/>
        <v>0.7626953125</v>
      </c>
      <c r="F15" s="3" t="str" cm="1">
        <f t="array" ref="F15">IF(Func(C15)&gt;0,"+","-")</f>
        <v>+</v>
      </c>
      <c r="G15" s="3" t="str" cm="1">
        <f t="array" ref="G15">IF(Func(D15)&gt;0,"+","-")</f>
        <v>-</v>
      </c>
      <c r="H15" s="3" t="str" cm="1">
        <f t="array" ref="H15">IF(Func(E15)&gt;0,"+","-")</f>
        <v>+</v>
      </c>
      <c r="I15" s="3">
        <f t="shared" si="1"/>
        <v>9.765625E-4</v>
      </c>
    </row>
    <row r="16" spans="2:9" x14ac:dyDescent="0.3">
      <c r="B16" s="3">
        <v>11</v>
      </c>
      <c r="C16" s="3" cm="1">
        <f t="array" ref="C16">IF(Func(C15)*Func(E15)&lt;0,C15,E15)</f>
        <v>0.7626953125</v>
      </c>
      <c r="D16" s="3" cm="1">
        <f t="array" ref="D16">IF(Func(D15)*Func(E15)&lt;0,D15,E15)</f>
        <v>0.763671875</v>
      </c>
      <c r="E16" s="3">
        <f t="shared" si="0"/>
        <v>0.76318359375</v>
      </c>
      <c r="F16" s="3" t="str" cm="1">
        <f t="array" ref="F16">IF(Func(C16)&gt;0,"+","-")</f>
        <v>+</v>
      </c>
      <c r="G16" s="3" t="str" cm="1">
        <f t="array" ref="G16">IF(Func(D16)&gt;0,"+","-")</f>
        <v>-</v>
      </c>
      <c r="H16" s="3" t="str" cm="1">
        <f t="array" ref="H16">IF(Func(E16)&gt;0,"+","-")</f>
        <v>+</v>
      </c>
      <c r="I16" s="3">
        <f>ABS(E16-D16)</f>
        <v>4.8828125E-4</v>
      </c>
    </row>
    <row r="17" spans="2:9" x14ac:dyDescent="0.3">
      <c r="B17" s="3">
        <v>12</v>
      </c>
      <c r="C17" s="3" cm="1">
        <f t="array" ref="C17">IF(Func(C16)*Func(E16)&lt;0,C16,E16)</f>
        <v>0.76318359375</v>
      </c>
      <c r="D17" s="3" cm="1">
        <f t="array" ref="D17">IF(Func(D16)*Func(E16)&lt;0,D16,E16)</f>
        <v>0.763671875</v>
      </c>
      <c r="E17" s="3">
        <f t="shared" si="0"/>
        <v>0.763427734375</v>
      </c>
      <c r="F17" s="3" t="str" cm="1">
        <f t="array" ref="F17">IF(Func(C17)&gt;0,"+","-")</f>
        <v>+</v>
      </c>
      <c r="G17" s="3" t="str" cm="1">
        <f t="array" ref="G17">IF(Func(D17)&gt;0,"+","-")</f>
        <v>-</v>
      </c>
      <c r="H17" s="3" t="str" cm="1">
        <f t="array" ref="H17">IF(Func(E17)&gt;0,"+","-")</f>
        <v>+</v>
      </c>
      <c r="I17" s="3">
        <f t="shared" ref="I17:I25" si="2">ABS(E17-D17)</f>
        <v>2.44140625E-4</v>
      </c>
    </row>
    <row r="18" spans="2:9" x14ac:dyDescent="0.3">
      <c r="B18" s="3">
        <v>13</v>
      </c>
      <c r="C18" s="3" cm="1">
        <f t="array" ref="C18">IF(Func(C17)*Func(E17)&lt;0,C17,E17)</f>
        <v>0.763427734375</v>
      </c>
      <c r="D18" s="3" cm="1">
        <f t="array" ref="D18">IF(Func(D17)*Func(E17)&lt;0,D17,E17)</f>
        <v>0.763671875</v>
      </c>
      <c r="E18" s="3">
        <f t="shared" si="0"/>
        <v>0.7635498046875</v>
      </c>
      <c r="F18" s="3" t="str" cm="1">
        <f t="array" ref="F18">IF(Func(C18)&gt;0,"+","-")</f>
        <v>+</v>
      </c>
      <c r="G18" s="3" t="str" cm="1">
        <f t="array" ref="G18">IF(Func(D18)&gt;0,"+","-")</f>
        <v>-</v>
      </c>
      <c r="H18" s="3" t="str" cm="1">
        <f t="array" ref="H18">IF(Func(E18)&gt;0,"+","-")</f>
        <v>+</v>
      </c>
      <c r="I18" s="3">
        <f t="shared" si="2"/>
        <v>1.220703125E-4</v>
      </c>
    </row>
    <row r="19" spans="2:9" x14ac:dyDescent="0.3">
      <c r="B19" s="3">
        <v>14</v>
      </c>
      <c r="C19" s="3" cm="1">
        <f t="array" ref="C19">IF(Func(C18)*Func(E18)&lt;0,C18,E18)</f>
        <v>0.7635498046875</v>
      </c>
      <c r="D19" s="3" cm="1">
        <f t="array" ref="D19">IF(Func(D18)*Func(E18)&lt;0,D18,E18)</f>
        <v>0.763671875</v>
      </c>
      <c r="E19" s="3">
        <f t="shared" ref="E19:E25" si="3">(D19+C19)/2</f>
        <v>0.76361083984375</v>
      </c>
      <c r="F19" s="3" t="str" cm="1">
        <f t="array" ref="F19">IF(Func(C19)&gt;0,"+","-")</f>
        <v>+</v>
      </c>
      <c r="G19" s="3" t="str" cm="1">
        <f t="array" ref="G19">IF(Func(D19)&gt;0,"+","-")</f>
        <v>-</v>
      </c>
      <c r="H19" s="3" t="str" cm="1">
        <f t="array" ref="H19">IF(Func(E19)&gt;0,"+","-")</f>
        <v>-</v>
      </c>
      <c r="I19" s="3">
        <f t="shared" si="2"/>
        <v>6.103515625E-5</v>
      </c>
    </row>
    <row r="20" spans="2:9" x14ac:dyDescent="0.3">
      <c r="B20" s="3">
        <v>15</v>
      </c>
      <c r="C20" s="3" cm="1">
        <f t="array" ref="C20">IF(Func(C19)*Func(E19)&lt;0,C19,E19)</f>
        <v>0.7635498046875</v>
      </c>
      <c r="D20" s="3" cm="1">
        <f t="array" ref="D20">IF(Func(D19)*Func(E19)&lt;0,D19,E19)</f>
        <v>0.76361083984375</v>
      </c>
      <c r="E20" s="3">
        <f t="shared" si="3"/>
        <v>0.763580322265625</v>
      </c>
      <c r="F20" s="3" t="str" cm="1">
        <f t="array" ref="F20">IF(Func(C20)&gt;0,"+","-")</f>
        <v>+</v>
      </c>
      <c r="G20" s="3" t="str" cm="1">
        <f t="array" ref="G20">IF(Func(D20)&gt;0,"+","-")</f>
        <v>-</v>
      </c>
      <c r="H20" s="3" t="str" cm="1">
        <f t="array" ref="H20">IF(Func(E20)&gt;0,"+","-")</f>
        <v>-</v>
      </c>
      <c r="I20" s="3">
        <f t="shared" si="2"/>
        <v>3.0517578125E-5</v>
      </c>
    </row>
    <row r="21" spans="2:9" x14ac:dyDescent="0.3">
      <c r="B21" s="3">
        <v>16</v>
      </c>
      <c r="C21" s="3" cm="1">
        <f t="array" ref="C21">IF(Func(C20)*Func(E20)&lt;0,C20,E20)</f>
        <v>0.7635498046875</v>
      </c>
      <c r="D21" s="3" cm="1">
        <f t="array" ref="D21">IF(Func(D20)*Func(E20)&lt;0,D20,E20)</f>
        <v>0.763580322265625</v>
      </c>
      <c r="E21" s="3">
        <f t="shared" si="3"/>
        <v>0.7635650634765625</v>
      </c>
      <c r="F21" s="3" t="str" cm="1">
        <f t="array" ref="F21">IF(Func(C21)&gt;0,"+","-")</f>
        <v>+</v>
      </c>
      <c r="G21" s="3" t="str" cm="1">
        <f t="array" ref="G21">IF(Func(D21)&gt;0,"+","-")</f>
        <v>-</v>
      </c>
      <c r="H21" s="3" t="str" cm="1">
        <f t="array" ref="H21">IF(Func(E21)&gt;0,"+","-")</f>
        <v>+</v>
      </c>
      <c r="I21" s="3">
        <f t="shared" si="2"/>
        <v>1.52587890625E-5</v>
      </c>
    </row>
    <row r="22" spans="2:9" x14ac:dyDescent="0.3">
      <c r="B22" s="3">
        <v>17</v>
      </c>
      <c r="C22" s="3" cm="1">
        <f t="array" ref="C22">IF(Func(C21)*Func(E21)&lt;0,C21,E21)</f>
        <v>0.7635650634765625</v>
      </c>
      <c r="D22" s="3" cm="1">
        <f t="array" ref="D22">IF(Func(D21)*Func(E21)&lt;0,D21,E21)</f>
        <v>0.763580322265625</v>
      </c>
      <c r="E22" s="3">
        <f t="shared" si="3"/>
        <v>0.76357269287109375</v>
      </c>
      <c r="F22" s="3" t="str" cm="1">
        <f t="array" ref="F22">IF(Func(C22)&gt;0,"+","-")</f>
        <v>+</v>
      </c>
      <c r="G22" s="3" t="str" cm="1">
        <f t="array" ref="G22">IF(Func(D22)&gt;0,"+","-")</f>
        <v>-</v>
      </c>
      <c r="H22" s="3" t="str" cm="1">
        <f t="array" ref="H22">IF(Func(E22)&gt;0,"+","-")</f>
        <v>+</v>
      </c>
      <c r="I22" s="3">
        <f t="shared" si="2"/>
        <v>7.62939453125E-6</v>
      </c>
    </row>
    <row r="23" spans="2:9" x14ac:dyDescent="0.3">
      <c r="B23" s="3">
        <v>18</v>
      </c>
      <c r="C23" s="3" cm="1">
        <f t="array" ref="C23">IF(Func(C22)*Func(E22)&lt;0,C22,E22)</f>
        <v>0.76357269287109375</v>
      </c>
      <c r="D23" s="3" cm="1">
        <f t="array" ref="D23">IF(Func(D22)*Func(E22)&lt;0,D22,E22)</f>
        <v>0.763580322265625</v>
      </c>
      <c r="E23" s="3">
        <f t="shared" si="3"/>
        <v>0.76357650756835938</v>
      </c>
      <c r="F23" s="3" t="str" cm="1">
        <f t="array" ref="F23">IF(Func(C23)&gt;0,"+","-")</f>
        <v>+</v>
      </c>
      <c r="G23" s="3" t="str" cm="1">
        <f t="array" ref="G23">IF(Func(D23)&gt;0,"+","-")</f>
        <v>-</v>
      </c>
      <c r="H23" s="3" t="str" cm="1">
        <f t="array" ref="H23">IF(Func(E23)&gt;0,"+","-")</f>
        <v>-</v>
      </c>
      <c r="I23" s="3">
        <f t="shared" si="2"/>
        <v>3.814697265625E-6</v>
      </c>
    </row>
    <row r="24" spans="2:9" x14ac:dyDescent="0.3">
      <c r="B24" s="3">
        <v>19</v>
      </c>
      <c r="C24" s="3" cm="1">
        <f t="array" ref="C24">IF(Func(C23)*Func(E23)&lt;0,C23,E23)</f>
        <v>0.76357269287109375</v>
      </c>
      <c r="D24" s="3" cm="1">
        <f t="array" ref="D24">IF(Func(D23)*Func(E23)&lt;0,D23,E23)</f>
        <v>0.76357650756835938</v>
      </c>
      <c r="E24" s="3">
        <f t="shared" si="3"/>
        <v>0.76357460021972656</v>
      </c>
      <c r="F24" s="3" t="str" cm="1">
        <f t="array" ref="F24">IF(Func(C24)&gt;0,"+","-")</f>
        <v>+</v>
      </c>
      <c r="G24" s="3" t="str" cm="1">
        <f t="array" ref="G24">IF(Func(D24)&gt;0,"+","-")</f>
        <v>-</v>
      </c>
      <c r="H24" s="3" t="str" cm="1">
        <f t="array" ref="H24">IF(Func(E24)&gt;0,"+","-")</f>
        <v>+</v>
      </c>
      <c r="I24" s="3">
        <f t="shared" si="2"/>
        <v>1.9073486328125E-6</v>
      </c>
    </row>
    <row r="25" spans="2:9" x14ac:dyDescent="0.3">
      <c r="B25" s="3">
        <v>20</v>
      </c>
      <c r="C25" s="3" cm="1">
        <f t="array" ref="C25">IF(Func(C24)*Func(E24)&lt;0,C24,E24)</f>
        <v>0.76357460021972656</v>
      </c>
      <c r="D25" s="3" cm="1">
        <f t="array" ref="D25">IF(Func(D24)*Func(E24)&lt;0,D24,E24)</f>
        <v>0.76357650756835938</v>
      </c>
      <c r="E25" s="3">
        <f t="shared" si="3"/>
        <v>0.76357555389404297</v>
      </c>
      <c r="F25" s="3" t="str" cm="1">
        <f t="array" ref="F25">IF(Func(C25)&gt;0,"+","-")</f>
        <v>+</v>
      </c>
      <c r="G25" s="3" t="str" cm="1">
        <f t="array" ref="G25">IF(Func(D25)&gt;0,"+","-")</f>
        <v>-</v>
      </c>
      <c r="H25" s="3" t="str" cm="1">
        <f t="array" ref="H25">IF(Func(E25)&gt;0,"+","-")</f>
        <v>+</v>
      </c>
      <c r="I25" s="3">
        <f t="shared" si="2"/>
        <v>9.5367431640625E-7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8B69C-4755-49F0-8FF1-0F340009D4F4}">
  <sheetPr codeName="Hoja6"/>
  <dimension ref="B2:F15"/>
  <sheetViews>
    <sheetView zoomScale="178" workbookViewId="0">
      <selection activeCell="E3" sqref="E3"/>
    </sheetView>
  </sheetViews>
  <sheetFormatPr baseColWidth="10" defaultRowHeight="14.4" x14ac:dyDescent="0.3"/>
  <sheetData>
    <row r="2" spans="2:6" x14ac:dyDescent="0.3">
      <c r="B2" s="4" t="s">
        <v>6</v>
      </c>
      <c r="C2" s="3">
        <v>0</v>
      </c>
      <c r="D2" s="2"/>
      <c r="E2" s="2"/>
      <c r="F2" s="2"/>
    </row>
    <row r="3" spans="2:6" x14ac:dyDescent="0.3">
      <c r="B3" s="4" t="s">
        <v>21</v>
      </c>
      <c r="C3" s="3">
        <v>1</v>
      </c>
      <c r="D3" s="2"/>
      <c r="E3" s="2"/>
      <c r="F3" s="2"/>
    </row>
    <row r="4" spans="2:6" x14ac:dyDescent="0.3">
      <c r="B4" s="2"/>
      <c r="C4" s="2"/>
      <c r="D4" s="2"/>
      <c r="E4" s="2"/>
      <c r="F4" s="2"/>
    </row>
    <row r="5" spans="2:6" x14ac:dyDescent="0.3">
      <c r="B5" s="4" t="s">
        <v>8</v>
      </c>
      <c r="C5" s="4" t="s">
        <v>9</v>
      </c>
      <c r="D5" s="4" t="s">
        <v>10</v>
      </c>
      <c r="E5" s="4" t="s">
        <v>11</v>
      </c>
      <c r="F5" s="4" t="s">
        <v>12</v>
      </c>
    </row>
    <row r="6" spans="2:6" x14ac:dyDescent="0.3">
      <c r="B6" s="3">
        <v>1</v>
      </c>
      <c r="C6" s="3">
        <f>C2</f>
        <v>0</v>
      </c>
      <c r="D6" s="3">
        <f>C3</f>
        <v>1</v>
      </c>
      <c r="E6" s="3" cm="1">
        <f t="array" ref="E6">p2_Secante(D6,C6)</f>
        <v>0.54545454545454541</v>
      </c>
      <c r="F6" s="3">
        <f>ABS(E6-D6)</f>
        <v>0.45454545454545459</v>
      </c>
    </row>
    <row r="7" spans="2:6" x14ac:dyDescent="0.3">
      <c r="B7" s="3">
        <v>2</v>
      </c>
      <c r="C7" s="3">
        <f t="shared" ref="C7:D9" si="0">D6</f>
        <v>1</v>
      </c>
      <c r="D7" s="3">
        <f t="shared" si="0"/>
        <v>0.54545454545454541</v>
      </c>
      <c r="E7" s="3" cm="1">
        <f t="array" ref="E7">p2_Secante(D7,C7)</f>
        <v>0.72055427251732107</v>
      </c>
      <c r="F7" s="3">
        <f t="shared" ref="F7:F8" si="1">ABS(E7-D7)</f>
        <v>0.17509972706277566</v>
      </c>
    </row>
    <row r="8" spans="2:6" x14ac:dyDescent="0.3">
      <c r="B8" s="3">
        <v>3</v>
      </c>
      <c r="C8" s="3">
        <f t="shared" si="0"/>
        <v>0.54545454545454541</v>
      </c>
      <c r="D8" s="3">
        <f t="shared" si="0"/>
        <v>0.72055427251732107</v>
      </c>
      <c r="E8" s="3" cm="1">
        <f t="array" ref="E8">p2_Secante(D8,C8)</f>
        <v>0.77318665226670413</v>
      </c>
      <c r="F8" s="3">
        <f t="shared" si="1"/>
        <v>5.2632379749383063E-2</v>
      </c>
    </row>
    <row r="9" spans="2:6" x14ac:dyDescent="0.3">
      <c r="B9" s="3">
        <v>4</v>
      </c>
      <c r="C9" s="3">
        <f t="shared" si="0"/>
        <v>0.72055427251732107</v>
      </c>
      <c r="D9" s="3">
        <f t="shared" si="0"/>
        <v>0.77318665226670413</v>
      </c>
      <c r="E9" s="3" cm="1">
        <f t="array" ref="E9">p2_Secante(D9,C9)</f>
        <v>0.76321663548450713</v>
      </c>
      <c r="F9" s="3">
        <f t="shared" ref="F9:F15" si="2">ABS(E9-D9)</f>
        <v>9.9700167821969998E-3</v>
      </c>
    </row>
    <row r="10" spans="2:6" x14ac:dyDescent="0.3">
      <c r="B10" s="3">
        <v>5</v>
      </c>
      <c r="C10" s="3">
        <f t="shared" ref="C10:D14" si="3">D9</f>
        <v>0.77318665226670413</v>
      </c>
      <c r="D10" s="3">
        <f t="shared" si="3"/>
        <v>0.76321663548450713</v>
      </c>
      <c r="E10" s="3" cm="1">
        <f t="array" ref="E10">p2_Secante(D10,C10)</f>
        <v>0.7635735567961881</v>
      </c>
      <c r="F10" s="3">
        <f t="shared" si="2"/>
        <v>3.5692131168096886E-4</v>
      </c>
    </row>
    <row r="11" spans="2:6" x14ac:dyDescent="0.3">
      <c r="B11" s="3">
        <v>6</v>
      </c>
      <c r="C11" s="3">
        <f t="shared" si="3"/>
        <v>0.76321663548450713</v>
      </c>
      <c r="D11" s="3">
        <f t="shared" si="3"/>
        <v>0.7635735567961881</v>
      </c>
      <c r="E11" s="3" cm="1">
        <f t="array" ref="E11">p2_Secante(D11,C11)</f>
        <v>0.76357648495003483</v>
      </c>
      <c r="F11" s="3">
        <f t="shared" si="2"/>
        <v>2.9281538467262891E-6</v>
      </c>
    </row>
    <row r="12" spans="2:6" x14ac:dyDescent="0.3">
      <c r="B12" s="3">
        <v>7</v>
      </c>
      <c r="C12" s="3">
        <f t="shared" si="3"/>
        <v>0.7635735567961881</v>
      </c>
      <c r="D12" s="3">
        <f t="shared" si="3"/>
        <v>0.76357648495003483</v>
      </c>
      <c r="E12" s="3" cm="1">
        <f t="array" ref="E12">p2_Secante(D12,C12)</f>
        <v>0.76357648405281542</v>
      </c>
      <c r="F12" s="3">
        <f t="shared" si="2"/>
        <v>8.9721940987885773E-10</v>
      </c>
    </row>
    <row r="13" spans="2:6" x14ac:dyDescent="0.3">
      <c r="B13" s="3">
        <v>8</v>
      </c>
      <c r="C13" s="3">
        <f t="shared" si="3"/>
        <v>0.76357648495003483</v>
      </c>
      <c r="D13" s="3">
        <f t="shared" si="3"/>
        <v>0.76357648405281542</v>
      </c>
      <c r="E13" s="3" cm="1">
        <f t="array" ref="E13">p2_Secante(D13,C13)</f>
        <v>0.76357648405281764</v>
      </c>
      <c r="F13" s="3">
        <f t="shared" si="2"/>
        <v>2.2204460492503131E-15</v>
      </c>
    </row>
    <row r="14" spans="2:6" x14ac:dyDescent="0.3">
      <c r="B14" s="3">
        <v>9</v>
      </c>
      <c r="C14" s="3">
        <f t="shared" si="3"/>
        <v>0.76357648405281542</v>
      </c>
      <c r="D14" s="3">
        <f t="shared" si="3"/>
        <v>0.76357648405281764</v>
      </c>
      <c r="E14" s="3" cm="1">
        <f t="array" ref="E14">p2_Secante(D14,C14)</f>
        <v>0.76357648405281764</v>
      </c>
      <c r="F14" s="3">
        <f t="shared" si="2"/>
        <v>0</v>
      </c>
    </row>
    <row r="15" spans="2:6" x14ac:dyDescent="0.3">
      <c r="B15" s="3">
        <v>10</v>
      </c>
      <c r="C15" s="3">
        <f>D14</f>
        <v>0.76357648405281764</v>
      </c>
      <c r="D15" s="3">
        <f>E14</f>
        <v>0.76357648405281764</v>
      </c>
      <c r="E15" s="3" t="e" cm="1">
        <f t="array" ref="E15">p2_Secante(D15,C15)</f>
        <v>#VALUE!</v>
      </c>
      <c r="F15" s="3" t="e">
        <f t="shared" si="2"/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A3C47C-E54F-4A36-AA1F-1B08E84517C5}">
  <sheetPr codeName="Hoja5"/>
  <dimension ref="B2:I16"/>
  <sheetViews>
    <sheetView topLeftCell="A7" zoomScale="162" zoomScaleNormal="130" workbookViewId="0">
      <selection activeCell="E13" sqref="E13"/>
    </sheetView>
  </sheetViews>
  <sheetFormatPr baseColWidth="10" defaultRowHeight="14.4" x14ac:dyDescent="0.3"/>
  <sheetData>
    <row r="2" spans="2:9" x14ac:dyDescent="0.3">
      <c r="B2" t="s">
        <v>2</v>
      </c>
      <c r="C2">
        <v>1</v>
      </c>
    </row>
    <row r="3" spans="2:9" x14ac:dyDescent="0.3">
      <c r="B3" t="s">
        <v>3</v>
      </c>
      <c r="C3">
        <v>2</v>
      </c>
    </row>
    <row r="4" spans="2:9" x14ac:dyDescent="0.3">
      <c r="B4" t="s">
        <v>13</v>
      </c>
      <c r="C4">
        <v>1E-3</v>
      </c>
    </row>
    <row r="6" spans="2:9" x14ac:dyDescent="0.3">
      <c r="B6" t="s">
        <v>8</v>
      </c>
      <c r="C6" t="s">
        <v>0</v>
      </c>
      <c r="D6" t="s">
        <v>1</v>
      </c>
      <c r="E6" t="s">
        <v>14</v>
      </c>
      <c r="F6" t="s">
        <v>4</v>
      </c>
      <c r="G6" t="s">
        <v>5</v>
      </c>
      <c r="H6" t="s">
        <v>15</v>
      </c>
      <c r="I6" t="s">
        <v>12</v>
      </c>
    </row>
    <row r="7" spans="2:9" x14ac:dyDescent="0.3">
      <c r="B7">
        <v>1</v>
      </c>
      <c r="C7">
        <f>C2</f>
        <v>1</v>
      </c>
      <c r="D7">
        <f>C3</f>
        <v>2</v>
      </c>
      <c r="E7" cm="1">
        <f t="array" ref="E7">p2_Secante2(C7,D7)</f>
        <v>1.1428571428571428</v>
      </c>
      <c r="F7" t="str" cm="1">
        <f t="array" ref="F7">IF(Func(C7)&gt;0,"+","-")</f>
        <v>-</v>
      </c>
      <c r="G7" t="str" cm="1">
        <f t="array" ref="G7">IF(Func(D7)&gt;0,"+","-")</f>
        <v>-</v>
      </c>
      <c r="H7" t="str" cm="1">
        <f t="array" ref="H7">IF(Func(E7)&gt;0,"+","-")</f>
        <v>-</v>
      </c>
      <c r="I7">
        <f>ABS(E7-D7)</f>
        <v>0.85714285714285721</v>
      </c>
    </row>
    <row r="8" spans="2:9" x14ac:dyDescent="0.3">
      <c r="B8">
        <v>2</v>
      </c>
      <c r="C8">
        <f>D7</f>
        <v>2</v>
      </c>
      <c r="D8">
        <f>E7</f>
        <v>1.1428571428571428</v>
      </c>
      <c r="E8" cm="1">
        <f t="array" ref="E8">p2_Secante2(C8,D8)</f>
        <v>1.2096774193548387</v>
      </c>
      <c r="F8" t="str" cm="1">
        <f t="array" ref="F8">IF(Func(C8)&gt;0,"+","-")</f>
        <v>-</v>
      </c>
      <c r="G8" t="str" cm="1">
        <f t="array" ref="G8">IF(Func(D8)&gt;0,"+","-")</f>
        <v>-</v>
      </c>
      <c r="H8" t="str" cm="1">
        <f t="array" ref="H8">IF(Func(E8)&gt;0,"+","-")</f>
        <v>-</v>
      </c>
      <c r="I8">
        <f t="shared" ref="I8:I16" si="0">ABS(E8-D8)</f>
        <v>6.6820276497695952E-2</v>
      </c>
    </row>
    <row r="9" spans="2:9" x14ac:dyDescent="0.3">
      <c r="B9">
        <v>3</v>
      </c>
      <c r="C9">
        <f t="shared" ref="C9:D16" si="1">D8</f>
        <v>1.1428571428571428</v>
      </c>
      <c r="D9">
        <f t="shared" si="1"/>
        <v>1.2096774193548387</v>
      </c>
      <c r="E9" cm="1">
        <f t="array" ref="E9">p2_Secante2(C9,D9)</f>
        <v>1.2650385337853132</v>
      </c>
      <c r="F9" t="str" cm="1">
        <f t="array" ref="F9">IF(Func(C9)&gt;0,"+","-")</f>
        <v>-</v>
      </c>
      <c r="G9" t="str" cm="1">
        <f t="array" ref="G9">IF(Func(D9)&gt;0,"+","-")</f>
        <v>-</v>
      </c>
      <c r="H9" t="str" cm="1">
        <f t="array" ref="H9">IF(Func(E9)&gt;0,"+","-")</f>
        <v>-</v>
      </c>
      <c r="I9">
        <f t="shared" si="0"/>
        <v>5.5361114430474423E-2</v>
      </c>
    </row>
    <row r="10" spans="2:9" x14ac:dyDescent="0.3">
      <c r="B10">
        <v>4</v>
      </c>
      <c r="C10">
        <f t="shared" si="1"/>
        <v>1.2096774193548387</v>
      </c>
      <c r="D10">
        <f t="shared" si="1"/>
        <v>1.2650385337853132</v>
      </c>
      <c r="E10" cm="1">
        <f t="array" ref="E10">p2_Secante2(C10,D10)</f>
        <v>1.25971202333506</v>
      </c>
      <c r="F10" t="str" cm="1">
        <f t="array" ref="F10">IF(Func(C10)&gt;0,"+","-")</f>
        <v>-</v>
      </c>
      <c r="G10" t="str" cm="1">
        <f t="array" ref="G10">IF(Func(D10)&gt;0,"+","-")</f>
        <v>-</v>
      </c>
      <c r="H10" t="str" cm="1">
        <f t="array" ref="H10">IF(Func(E10)&gt;0,"+","-")</f>
        <v>-</v>
      </c>
      <c r="I10">
        <f t="shared" si="0"/>
        <v>5.3265104502531191E-3</v>
      </c>
    </row>
    <row r="11" spans="2:9" x14ac:dyDescent="0.3">
      <c r="B11">
        <v>5</v>
      </c>
      <c r="C11">
        <f t="shared" si="1"/>
        <v>1.2650385337853132</v>
      </c>
      <c r="D11">
        <f t="shared" si="1"/>
        <v>1.25971202333506</v>
      </c>
      <c r="E11" cm="1">
        <f t="array" ref="E11">p2_Secante2(C11,D11)</f>
        <v>1.2599202030822991</v>
      </c>
      <c r="F11" t="str" cm="1">
        <f t="array" ref="F11">IF(Func(C11)&gt;0,"+","-")</f>
        <v>-</v>
      </c>
      <c r="G11" t="str" cm="1">
        <f t="array" ref="G11">IF(Func(D11)&gt;0,"+","-")</f>
        <v>-</v>
      </c>
      <c r="H11" t="str" cm="1">
        <f t="array" ref="H11">IF(Func(E11)&gt;0,"+","-")</f>
        <v>-</v>
      </c>
      <c r="I11">
        <f t="shared" si="0"/>
        <v>2.0817974723907895E-4</v>
      </c>
    </row>
    <row r="12" spans="2:9" x14ac:dyDescent="0.3">
      <c r="B12">
        <v>6</v>
      </c>
      <c r="C12">
        <f t="shared" si="1"/>
        <v>1.25971202333506</v>
      </c>
      <c r="D12">
        <f t="shared" si="1"/>
        <v>1.2599202030822991</v>
      </c>
      <c r="E12" cm="1">
        <f t="array" ref="E12">p2_Secante2(C12,D12)</f>
        <v>1.2599210500353788</v>
      </c>
      <c r="F12" t="str" cm="1">
        <f t="array" ref="F12">IF(Func(C12)&gt;0,"+","-")</f>
        <v>-</v>
      </c>
      <c r="G12" t="str" cm="1">
        <f t="array" ref="G12">IF(Func(D12)&gt;0,"+","-")</f>
        <v>-</v>
      </c>
      <c r="H12" t="str" cm="1">
        <f t="array" ref="H12">IF(Func(E12)&gt;0,"+","-")</f>
        <v>-</v>
      </c>
      <c r="I12">
        <f t="shared" si="0"/>
        <v>8.4695307966953237E-7</v>
      </c>
    </row>
    <row r="13" spans="2:9" x14ac:dyDescent="0.3">
      <c r="B13">
        <v>7</v>
      </c>
      <c r="C13">
        <f t="shared" si="1"/>
        <v>1.2599202030822991</v>
      </c>
      <c r="D13">
        <f t="shared" si="1"/>
        <v>1.2599210500353788</v>
      </c>
      <c r="E13" cm="1">
        <f t="array" ref="E13">p2_Secante2(C13,D13)</f>
        <v>1.2599210498948732</v>
      </c>
      <c r="F13" t="str" cm="1">
        <f t="array" ref="F13">IF(Func(C13)&gt;0,"+","-")</f>
        <v>-</v>
      </c>
      <c r="G13" t="str" cm="1">
        <f t="array" ref="G13">IF(Func(D13)&gt;0,"+","-")</f>
        <v>-</v>
      </c>
      <c r="H13" t="str" cm="1">
        <f t="array" ref="H13">IF(Func(E13)&gt;0,"+","-")</f>
        <v>-</v>
      </c>
      <c r="I13">
        <f t="shared" si="0"/>
        <v>1.4050560714906624E-10</v>
      </c>
    </row>
    <row r="14" spans="2:9" x14ac:dyDescent="0.3">
      <c r="B14">
        <v>8</v>
      </c>
      <c r="C14">
        <f t="shared" si="1"/>
        <v>1.2599210500353788</v>
      </c>
      <c r="D14">
        <f t="shared" si="1"/>
        <v>1.2599210498948732</v>
      </c>
      <c r="E14" cm="1">
        <f t="array" ref="E14">p2_Secante2(C14,D14)</f>
        <v>1.2599210498948732</v>
      </c>
      <c r="F14" t="str" cm="1">
        <f t="array" ref="F14">IF(Func(C14)&gt;0,"+","-")</f>
        <v>-</v>
      </c>
      <c r="G14" t="str" cm="1">
        <f t="array" ref="G14">IF(Func(D14)&gt;0,"+","-")</f>
        <v>-</v>
      </c>
      <c r="H14" t="str" cm="1">
        <f t="array" ref="H14">IF(Func(E14)&gt;0,"+","-")</f>
        <v>-</v>
      </c>
      <c r="I14">
        <f t="shared" si="0"/>
        <v>0</v>
      </c>
    </row>
    <row r="15" spans="2:9" x14ac:dyDescent="0.3">
      <c r="B15">
        <v>9</v>
      </c>
      <c r="C15">
        <f t="shared" si="1"/>
        <v>1.2599210498948732</v>
      </c>
      <c r="D15">
        <f t="shared" si="1"/>
        <v>1.2599210498948732</v>
      </c>
      <c r="E15" t="e" cm="1">
        <f t="array" ref="E15">p2_Secante2(C15,D15)</f>
        <v>#VALUE!</v>
      </c>
      <c r="F15" t="str" cm="1">
        <f t="array" ref="F15">IF(Func(C15)&gt;0,"+","-")</f>
        <v>-</v>
      </c>
      <c r="G15" t="str" cm="1">
        <f t="array" ref="G15">IF(Func(D15)&gt;0,"+","-")</f>
        <v>-</v>
      </c>
      <c r="H15" t="e" cm="1">
        <f t="array" ref="H15">IF(Func(E15)&gt;0,"+","-")</f>
        <v>#VALUE!</v>
      </c>
      <c r="I15" t="e">
        <f t="shared" si="0"/>
        <v>#VALUE!</v>
      </c>
    </row>
    <row r="16" spans="2:9" x14ac:dyDescent="0.3">
      <c r="B16">
        <v>10</v>
      </c>
      <c r="C16">
        <f t="shared" si="1"/>
        <v>1.2599210498948732</v>
      </c>
      <c r="D16" t="e">
        <f t="shared" si="1"/>
        <v>#VALUE!</v>
      </c>
      <c r="E16" t="e" cm="1">
        <f t="array" ref="E16">p2_Secante2(C16,D16)</f>
        <v>#VALUE!</v>
      </c>
      <c r="F16" t="str" cm="1">
        <f t="array" ref="F16">IF(Func(C16)&gt;0,"+","-")</f>
        <v>-</v>
      </c>
      <c r="G16" t="e" cm="1">
        <f t="array" ref="G16">IF(Func(D16)&gt;0,"+","-")</f>
        <v>#VALUE!</v>
      </c>
      <c r="H16" t="e" cm="1">
        <f t="array" ref="H16">IF(Func(E16)&gt;0,"+","-")</f>
        <v>#VALUE!</v>
      </c>
      <c r="I16" t="e">
        <f t="shared" si="0"/>
        <v>#VALUE!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809FE-3B02-4058-AC46-948A758B2C1A}">
  <sheetPr codeName="Hoja4"/>
  <dimension ref="B2:G15"/>
  <sheetViews>
    <sheetView zoomScale="176" workbookViewId="0">
      <selection activeCell="B9" sqref="B9"/>
    </sheetView>
  </sheetViews>
  <sheetFormatPr baseColWidth="10" defaultRowHeight="14.4" x14ac:dyDescent="0.3"/>
  <cols>
    <col min="4" max="4" width="12" bestFit="1" customWidth="1"/>
  </cols>
  <sheetData>
    <row r="2" spans="2:7" x14ac:dyDescent="0.3">
      <c r="B2" s="3" t="s">
        <v>6</v>
      </c>
      <c r="C2" s="3">
        <v>1.5</v>
      </c>
    </row>
    <row r="3" spans="2:7" x14ac:dyDescent="0.3">
      <c r="B3" s="3" t="s">
        <v>16</v>
      </c>
      <c r="C3" s="3">
        <v>1E-3</v>
      </c>
    </row>
    <row r="5" spans="2:7" x14ac:dyDescent="0.3">
      <c r="B5" s="3" t="s">
        <v>8</v>
      </c>
      <c r="C5" s="3" t="s">
        <v>20</v>
      </c>
      <c r="D5" s="3" t="s">
        <v>17</v>
      </c>
      <c r="E5" s="3" t="s">
        <v>18</v>
      </c>
      <c r="F5" s="3" t="s">
        <v>19</v>
      </c>
      <c r="G5" s="3" t="s">
        <v>12</v>
      </c>
    </row>
    <row r="6" spans="2:7" x14ac:dyDescent="0.3">
      <c r="B6" s="3">
        <v>1</v>
      </c>
      <c r="C6" s="3">
        <f>C2</f>
        <v>1.5</v>
      </c>
      <c r="D6" s="3" cm="1">
        <f t="array" ref="D6">Func2(C6)</f>
        <v>1.375</v>
      </c>
      <c r="E6" s="3" cm="1">
        <f t="array" ref="E6">DerivFunc2(C6)</f>
        <v>6.75</v>
      </c>
      <c r="F6" s="3">
        <f>C6-(D6/E6)</f>
        <v>1.2962962962962963</v>
      </c>
      <c r="G6" s="3">
        <f>ABS(F6-C6)</f>
        <v>0.20370370370370372</v>
      </c>
    </row>
    <row r="7" spans="2:7" x14ac:dyDescent="0.3">
      <c r="B7" s="3">
        <v>2</v>
      </c>
      <c r="C7" s="3">
        <f t="shared" ref="C7:C15" si="0">F6</f>
        <v>1.2962962962962963</v>
      </c>
      <c r="D7" s="3" cm="1">
        <f t="array" ref="D7">Func2(C7)</f>
        <v>0.17827566935934547</v>
      </c>
      <c r="E7" s="3" cm="1">
        <f t="array" ref="E7">DerivFunc2(C7)</f>
        <v>5.0411522633744852</v>
      </c>
      <c r="F7" s="3">
        <f t="shared" ref="F7:F15" si="1">C7-(D7/E7)</f>
        <v>1.2609322247417485</v>
      </c>
      <c r="G7" s="3">
        <f t="shared" ref="G7:G15" si="2">ABS(F7-C7)</f>
        <v>3.5364071554547793E-2</v>
      </c>
    </row>
    <row r="8" spans="2:7" x14ac:dyDescent="0.3">
      <c r="B8" s="3">
        <v>3</v>
      </c>
      <c r="C8" s="3">
        <f t="shared" si="0"/>
        <v>1.2609322247417485</v>
      </c>
      <c r="D8" s="3" cm="1">
        <f t="array" ref="D8">Func2(C8)</f>
        <v>4.8192857925664079E-3</v>
      </c>
      <c r="E8" s="3" cm="1">
        <f t="array" ref="E8">DerivFunc2(C8)</f>
        <v>4.7698502261765263</v>
      </c>
      <c r="F8" s="3">
        <f t="shared" si="1"/>
        <v>1.2599218605659261</v>
      </c>
      <c r="G8" s="3">
        <f t="shared" si="2"/>
        <v>1.0103641758223425E-3</v>
      </c>
    </row>
    <row r="9" spans="2:7" x14ac:dyDescent="0.3">
      <c r="B9" s="3">
        <v>4</v>
      </c>
      <c r="C9" s="3">
        <f t="shared" si="0"/>
        <v>1.2599218605659261</v>
      </c>
      <c r="D9" s="3" cm="1">
        <f t="array" ref="D9">Func2(C9)</f>
        <v>3.860582730830231E-6</v>
      </c>
      <c r="E9" s="3" cm="1">
        <f t="array" ref="E9">DerivFunc2(C9)</f>
        <v>4.7622092841957153</v>
      </c>
      <c r="F9" s="3">
        <f t="shared" si="1"/>
        <v>1.2599210498953948</v>
      </c>
      <c r="G9" s="3">
        <f t="shared" si="2"/>
        <v>8.1067053137040546E-7</v>
      </c>
    </row>
    <row r="10" spans="2:7" x14ac:dyDescent="0.3">
      <c r="B10" s="3">
        <v>5</v>
      </c>
      <c r="C10" s="3">
        <f t="shared" si="0"/>
        <v>1.2599210498953948</v>
      </c>
      <c r="D10" s="3" cm="1">
        <f t="array" ref="D10">Func2(C10)</f>
        <v>2.4837909506914002E-12</v>
      </c>
      <c r="E10" s="3" cm="1">
        <f t="array" ref="E10">DerivFunc2(C10)</f>
        <v>4.7622031559085416</v>
      </c>
      <c r="F10" s="3">
        <f>C10-(D10/E10)</f>
        <v>1.2599210498948732</v>
      </c>
      <c r="G10" s="3">
        <f t="shared" si="2"/>
        <v>5.2158277696889854E-13</v>
      </c>
    </row>
    <row r="11" spans="2:7" x14ac:dyDescent="0.3">
      <c r="B11" s="3">
        <v>6</v>
      </c>
      <c r="C11" s="3">
        <f t="shared" si="0"/>
        <v>1.2599210498948732</v>
      </c>
      <c r="D11" s="3" cm="1">
        <f t="array" ref="D11">Func2(C11)</f>
        <v>0</v>
      </c>
      <c r="E11" s="3" cm="1">
        <f t="array" ref="E11">DerivFunc2(C11)</f>
        <v>4.762203155904599</v>
      </c>
      <c r="F11" s="3">
        <f t="shared" si="1"/>
        <v>1.2599210498948732</v>
      </c>
      <c r="G11" s="3">
        <f t="shared" si="2"/>
        <v>0</v>
      </c>
    </row>
    <row r="12" spans="2:7" x14ac:dyDescent="0.3">
      <c r="B12" s="3">
        <v>7</v>
      </c>
      <c r="C12" s="3">
        <f t="shared" si="0"/>
        <v>1.2599210498948732</v>
      </c>
      <c r="D12" s="3" cm="1">
        <f t="array" ref="D12">Func2(C12)</f>
        <v>0</v>
      </c>
      <c r="E12" s="3" cm="1">
        <f t="array" ref="E12">DerivFunc2(C12)</f>
        <v>4.762203155904599</v>
      </c>
      <c r="F12" s="3">
        <f t="shared" si="1"/>
        <v>1.2599210498948732</v>
      </c>
      <c r="G12" s="3">
        <f t="shared" si="2"/>
        <v>0</v>
      </c>
    </row>
    <row r="13" spans="2:7" x14ac:dyDescent="0.3">
      <c r="B13" s="3">
        <v>8</v>
      </c>
      <c r="C13" s="3">
        <f t="shared" si="0"/>
        <v>1.2599210498948732</v>
      </c>
      <c r="D13" s="3" cm="1">
        <f t="array" ref="D13">Func2(C13)</f>
        <v>0</v>
      </c>
      <c r="E13" s="3" cm="1">
        <f t="array" ref="E13">DerivFunc2(C13)</f>
        <v>4.762203155904599</v>
      </c>
      <c r="F13" s="3">
        <f t="shared" si="1"/>
        <v>1.2599210498948732</v>
      </c>
      <c r="G13" s="3">
        <f t="shared" si="2"/>
        <v>0</v>
      </c>
    </row>
    <row r="14" spans="2:7" x14ac:dyDescent="0.3">
      <c r="B14" s="3">
        <v>9</v>
      </c>
      <c r="C14" s="3">
        <f t="shared" si="0"/>
        <v>1.2599210498948732</v>
      </c>
      <c r="D14" s="3" cm="1">
        <f t="array" ref="D14">Func2(C14)</f>
        <v>0</v>
      </c>
      <c r="E14" s="3" cm="1">
        <f t="array" ref="E14">DerivFunc2(C14)</f>
        <v>4.762203155904599</v>
      </c>
      <c r="F14" s="3">
        <f t="shared" si="1"/>
        <v>1.2599210498948732</v>
      </c>
      <c r="G14" s="3">
        <f t="shared" si="2"/>
        <v>0</v>
      </c>
    </row>
    <row r="15" spans="2:7" x14ac:dyDescent="0.3">
      <c r="B15" s="3">
        <v>10</v>
      </c>
      <c r="C15" s="3">
        <f t="shared" si="0"/>
        <v>1.2599210498948732</v>
      </c>
      <c r="D15" s="3" cm="1">
        <f t="array" ref="D15">Func2(C15)</f>
        <v>0</v>
      </c>
      <c r="E15" s="3" cm="1">
        <f t="array" ref="E15">DerivFunc2(C15)</f>
        <v>4.762203155904599</v>
      </c>
      <c r="F15" s="3">
        <f t="shared" si="1"/>
        <v>1.2599210498948732</v>
      </c>
      <c r="G15" s="3">
        <f t="shared" si="2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81EA9-4873-45BC-98E7-9460D788901C}">
  <sheetPr codeName="Hoja1"/>
  <dimension ref="C1:H28"/>
  <sheetViews>
    <sheetView zoomScale="130" workbookViewId="0">
      <selection activeCell="H8" sqref="H8"/>
    </sheetView>
  </sheetViews>
  <sheetFormatPr baseColWidth="10" defaultRowHeight="14.4" x14ac:dyDescent="0.3"/>
  <sheetData>
    <row r="1" spans="3:8" x14ac:dyDescent="0.3">
      <c r="C1" t="s">
        <v>7</v>
      </c>
      <c r="D1">
        <v>1</v>
      </c>
    </row>
    <row r="2" spans="3:8" x14ac:dyDescent="0.3">
      <c r="C2" t="s">
        <v>23</v>
      </c>
      <c r="D2">
        <v>0.01</v>
      </c>
    </row>
    <row r="5" spans="3:8" x14ac:dyDescent="0.3">
      <c r="C5" t="s">
        <v>8</v>
      </c>
      <c r="D5" t="s">
        <v>20</v>
      </c>
      <c r="E5" t="s">
        <v>19</v>
      </c>
      <c r="F5" t="s">
        <v>12</v>
      </c>
    </row>
    <row r="6" spans="3:8" x14ac:dyDescent="0.3">
      <c r="C6">
        <v>1</v>
      </c>
      <c r="D6">
        <f>D1</f>
        <v>1</v>
      </c>
      <c r="E6" cm="1">
        <f t="array" ref="E6">Func4(D6)</f>
        <v>1.189207115002721</v>
      </c>
      <c r="F6">
        <f>ABS(E6-D6)</f>
        <v>0.18920711500272103</v>
      </c>
    </row>
    <row r="7" spans="3:8" x14ac:dyDescent="0.3">
      <c r="C7">
        <v>2</v>
      </c>
      <c r="D7">
        <f>E6</f>
        <v>1.189207115002721</v>
      </c>
      <c r="E7" cm="1">
        <f t="array" ref="E7">Func3(D7)</f>
        <v>1.2562413561563286</v>
      </c>
      <c r="F7">
        <f>ABS(E7-D7)</f>
        <v>6.7034241153607566E-2</v>
      </c>
    </row>
    <row r="8" spans="3:8" x14ac:dyDescent="0.3">
      <c r="C8">
        <v>3</v>
      </c>
      <c r="D8">
        <f>E7</f>
        <v>1.2562413561563286</v>
      </c>
      <c r="E8" cm="1">
        <f t="array" ref="E8">Func3(D8)</f>
        <v>1.2793888786685217</v>
      </c>
      <c r="F8">
        <f t="shared" ref="F8:F28" si="0">ABS(E8-D8)</f>
        <v>2.3147522512193097E-2</v>
      </c>
      <c r="H8" s="5"/>
    </row>
    <row r="9" spans="3:8" x14ac:dyDescent="0.3">
      <c r="C9">
        <v>4</v>
      </c>
      <c r="D9">
        <f t="shared" ref="D9:D28" si="1">E8</f>
        <v>1.2793888786685217</v>
      </c>
      <c r="E9" cm="1">
        <f t="array" ref="E9">Func3(D9)</f>
        <v>1.2871908284068707</v>
      </c>
      <c r="F9">
        <f t="shared" si="0"/>
        <v>7.8019497383490233E-3</v>
      </c>
    </row>
    <row r="10" spans="3:8" x14ac:dyDescent="0.3">
      <c r="C10">
        <v>5</v>
      </c>
      <c r="D10">
        <f t="shared" si="1"/>
        <v>1.2871908284068707</v>
      </c>
      <c r="E10" cm="1">
        <f t="array" ref="E10">Func3(D10)</f>
        <v>1.2897994517914066</v>
      </c>
      <c r="F10">
        <f t="shared" si="0"/>
        <v>2.6086233845359352E-3</v>
      </c>
    </row>
    <row r="11" spans="3:8" x14ac:dyDescent="0.3">
      <c r="C11">
        <v>6</v>
      </c>
      <c r="D11">
        <f t="shared" si="1"/>
        <v>1.2897994517914066</v>
      </c>
      <c r="E11" cm="1">
        <f t="array" ref="E11">Func3(D11)</f>
        <v>1.2906693292826015</v>
      </c>
      <c r="F11">
        <f t="shared" si="0"/>
        <v>8.6987749119482594E-4</v>
      </c>
    </row>
    <row r="12" spans="3:8" x14ac:dyDescent="0.3">
      <c r="C12">
        <v>7</v>
      </c>
      <c r="D12">
        <f t="shared" si="1"/>
        <v>1.2906693292826015</v>
      </c>
      <c r="E12" cm="1">
        <f t="array" ref="E12">Func3(D12)</f>
        <v>1.2909591424243427</v>
      </c>
      <c r="F12">
        <f t="shared" si="0"/>
        <v>2.898131417412575E-4</v>
      </c>
    </row>
    <row r="13" spans="3:8" x14ac:dyDescent="0.3">
      <c r="C13">
        <v>8</v>
      </c>
      <c r="D13">
        <f t="shared" si="1"/>
        <v>1.2909591424243427</v>
      </c>
      <c r="E13" cm="1">
        <f t="array" ref="E13">Func3(D13)</f>
        <v>1.2910556695285169</v>
      </c>
      <c r="F13">
        <f t="shared" si="0"/>
        <v>9.6527104174182199E-5</v>
      </c>
    </row>
    <row r="14" spans="3:8" x14ac:dyDescent="0.3">
      <c r="C14">
        <v>9</v>
      </c>
      <c r="D14">
        <f t="shared" si="1"/>
        <v>1.2910556695285169</v>
      </c>
      <c r="E14" cm="1">
        <f t="array" ref="E14">Func3(D14)</f>
        <v>1.2910878163171928</v>
      </c>
      <c r="F14">
        <f t="shared" si="0"/>
        <v>3.2146788675913029E-5</v>
      </c>
    </row>
    <row r="15" spans="3:8" x14ac:dyDescent="0.3">
      <c r="C15">
        <v>10</v>
      </c>
      <c r="D15">
        <f t="shared" si="1"/>
        <v>1.2910878163171928</v>
      </c>
      <c r="E15" cm="1">
        <f t="array" ref="E15">Func3(D15)</f>
        <v>1.2910985219324589</v>
      </c>
      <c r="F15">
        <f t="shared" si="0"/>
        <v>1.0705615266060065E-5</v>
      </c>
    </row>
    <row r="16" spans="3:8" x14ac:dyDescent="0.3">
      <c r="C16">
        <v>11</v>
      </c>
      <c r="D16">
        <f t="shared" si="1"/>
        <v>1.2910985219324589</v>
      </c>
      <c r="E16" cm="1">
        <f t="array" ref="E16">Func3(D16)</f>
        <v>1.2911020871079513</v>
      </c>
      <c r="F16">
        <f>ABS(E16-D16)</f>
        <v>3.565175492381556E-6</v>
      </c>
    </row>
    <row r="17" spans="3:6" x14ac:dyDescent="0.3">
      <c r="C17">
        <v>12</v>
      </c>
      <c r="D17">
        <f t="shared" si="1"/>
        <v>1.2911020871079513</v>
      </c>
      <c r="E17" cm="1">
        <f t="array" ref="E17">Func3(D17)</f>
        <v>1.2911032743755322</v>
      </c>
      <c r="F17">
        <f t="shared" si="0"/>
        <v>1.1872675809154742E-6</v>
      </c>
    </row>
    <row r="18" spans="3:6" x14ac:dyDescent="0.3">
      <c r="C18">
        <v>13</v>
      </c>
      <c r="D18">
        <f t="shared" si="1"/>
        <v>1.2911032743755322</v>
      </c>
      <c r="E18" cm="1">
        <f t="array" ref="E18">Func3(D18)</f>
        <v>1.2911036697565168</v>
      </c>
      <c r="F18">
        <f t="shared" si="0"/>
        <v>3.953809846191092E-7</v>
      </c>
    </row>
    <row r="19" spans="3:6" x14ac:dyDescent="0.3">
      <c r="C19">
        <v>14</v>
      </c>
      <c r="D19">
        <f t="shared" si="1"/>
        <v>1.2911036697565168</v>
      </c>
      <c r="E19" cm="1">
        <f t="array" ref="E19">Func3(D19)</f>
        <v>1.2911038014252849</v>
      </c>
      <c r="F19">
        <f t="shared" si="0"/>
        <v>1.3166876811077088E-7</v>
      </c>
    </row>
    <row r="20" spans="3:6" x14ac:dyDescent="0.3">
      <c r="C20">
        <v>15</v>
      </c>
      <c r="D20">
        <f t="shared" si="1"/>
        <v>1.2911038014252849</v>
      </c>
      <c r="E20" cm="1">
        <f t="array" ref="E20">Func3(D20)</f>
        <v>1.2911038452732768</v>
      </c>
      <c r="F20">
        <f t="shared" si="0"/>
        <v>4.3847991904044648E-8</v>
      </c>
    </row>
    <row r="21" spans="3:6" x14ac:dyDescent="0.3">
      <c r="C21">
        <v>16</v>
      </c>
      <c r="D21">
        <f t="shared" si="1"/>
        <v>1.2911038452732768</v>
      </c>
      <c r="E21" cm="1">
        <f t="array" ref="E21">Func3(D21)</f>
        <v>1.2911038598754208</v>
      </c>
      <c r="F21">
        <f t="shared" si="0"/>
        <v>1.4602143938446943E-8</v>
      </c>
    </row>
    <row r="22" spans="3:6" x14ac:dyDescent="0.3">
      <c r="C22">
        <v>17</v>
      </c>
      <c r="D22">
        <f t="shared" si="1"/>
        <v>1.2911038598754208</v>
      </c>
      <c r="E22" cm="1">
        <f t="array" ref="E22">Func3(D22)</f>
        <v>1.2911038647381885</v>
      </c>
      <c r="F22">
        <f t="shared" si="0"/>
        <v>4.8627677440293837E-9</v>
      </c>
    </row>
    <row r="23" spans="3:6" x14ac:dyDescent="0.3">
      <c r="C23">
        <v>18</v>
      </c>
      <c r="D23">
        <f t="shared" si="1"/>
        <v>1.2911038647381885</v>
      </c>
      <c r="E23" cm="1">
        <f t="array" ref="E23">Func3(D23)</f>
        <v>1.2911038663575747</v>
      </c>
      <c r="F23">
        <f t="shared" si="0"/>
        <v>1.6193861807067833E-9</v>
      </c>
    </row>
    <row r="24" spans="3:6" x14ac:dyDescent="0.3">
      <c r="C24">
        <v>19</v>
      </c>
      <c r="D24">
        <f t="shared" si="1"/>
        <v>1.2911038663575747</v>
      </c>
      <c r="E24" cm="1">
        <f t="array" ref="E24">Func3(D24)</f>
        <v>1.2911038668968584</v>
      </c>
      <c r="F24">
        <f t="shared" si="0"/>
        <v>5.3928372878431219E-10</v>
      </c>
    </row>
    <row r="25" spans="3:6" x14ac:dyDescent="0.3">
      <c r="C25">
        <v>20</v>
      </c>
      <c r="D25">
        <f t="shared" si="1"/>
        <v>1.2911038668968584</v>
      </c>
      <c r="E25" cm="1">
        <f t="array" ref="E25">Func3(D25)</f>
        <v>1.2911038670764492</v>
      </c>
      <c r="F25">
        <f t="shared" si="0"/>
        <v>1.7959078668638995E-10</v>
      </c>
    </row>
    <row r="26" spans="3:6" x14ac:dyDescent="0.3">
      <c r="C26">
        <v>21</v>
      </c>
      <c r="D26">
        <f t="shared" si="1"/>
        <v>1.2911038670764492</v>
      </c>
      <c r="E26" cm="1">
        <f t="array" ref="E26">Func3(D26)</f>
        <v>1.2911038671362562</v>
      </c>
      <c r="F26">
        <f t="shared" si="0"/>
        <v>5.9807048202742408E-11</v>
      </c>
    </row>
    <row r="27" spans="3:6" x14ac:dyDescent="0.3">
      <c r="C27">
        <v>22</v>
      </c>
      <c r="D27">
        <f t="shared" si="1"/>
        <v>1.2911038671362562</v>
      </c>
      <c r="E27" cm="1">
        <f t="array" ref="E27">Func3(D27)</f>
        <v>1.291103867156173</v>
      </c>
      <c r="F27">
        <f t="shared" si="0"/>
        <v>1.9916734927960533E-11</v>
      </c>
    </row>
    <row r="28" spans="3:6" x14ac:dyDescent="0.3">
      <c r="C28">
        <v>23</v>
      </c>
      <c r="D28">
        <f t="shared" si="1"/>
        <v>1.291103867156173</v>
      </c>
      <c r="E28" cm="1">
        <f t="array" ref="E28">Func3(D28)</f>
        <v>1.2911038671628055</v>
      </c>
      <c r="F28">
        <f t="shared" si="0"/>
        <v>6.6324723491106852E-12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5AACC-02D8-44F1-A935-20CCB9CA3CBB}">
  <sheetPr codeName="Hoja3"/>
  <dimension ref="B1:M33"/>
  <sheetViews>
    <sheetView topLeftCell="B1" zoomScale="168" workbookViewId="0">
      <selection activeCell="B1" sqref="B1:C1"/>
    </sheetView>
  </sheetViews>
  <sheetFormatPr baseColWidth="10" defaultRowHeight="14.4" x14ac:dyDescent="0.3"/>
  <sheetData>
    <row r="1" spans="2:13" x14ac:dyDescent="0.3">
      <c r="B1" s="2" t="s">
        <v>6</v>
      </c>
      <c r="C1" s="2">
        <v>1.1000000000000001</v>
      </c>
      <c r="D1" s="2"/>
      <c r="E1" s="2"/>
      <c r="F1" s="2"/>
    </row>
    <row r="2" spans="2:13" x14ac:dyDescent="0.3">
      <c r="B2" s="2"/>
      <c r="C2" s="2"/>
      <c r="D2" s="2"/>
      <c r="E2" s="2"/>
      <c r="F2" s="2"/>
      <c r="H2" s="6" t="s">
        <v>28</v>
      </c>
      <c r="I2" s="6"/>
      <c r="J2" s="6"/>
      <c r="K2" s="6"/>
      <c r="L2" s="2"/>
    </row>
    <row r="3" spans="2:13" x14ac:dyDescent="0.3">
      <c r="B3" s="3" t="s">
        <v>8</v>
      </c>
      <c r="C3" s="3" t="s">
        <v>20</v>
      </c>
      <c r="D3" s="3" t="s">
        <v>19</v>
      </c>
      <c r="E3" s="3" t="s">
        <v>12</v>
      </c>
      <c r="H3" s="3" t="s">
        <v>25</v>
      </c>
      <c r="I3" s="3" t="s">
        <v>26</v>
      </c>
      <c r="J3" s="3" t="s">
        <v>27</v>
      </c>
      <c r="K3" s="3" t="s">
        <v>12</v>
      </c>
      <c r="L3" s="2"/>
      <c r="M3" s="2"/>
    </row>
    <row r="4" spans="2:13" x14ac:dyDescent="0.3">
      <c r="B4" s="3">
        <v>1</v>
      </c>
      <c r="C4" s="3">
        <f>C1</f>
        <v>1.1000000000000001</v>
      </c>
      <c r="D4" s="3" cm="1">
        <f t="array" ref="D4">Func4(C4)</f>
        <v>1.1384850195244431</v>
      </c>
      <c r="E4" s="1"/>
      <c r="H4" s="3">
        <f>C1</f>
        <v>1.1000000000000001</v>
      </c>
      <c r="I4" s="3" cm="1">
        <f t="array" ref="I4">Func4(H4)</f>
        <v>1.1384850195244431</v>
      </c>
      <c r="J4" s="3" cm="1">
        <f t="array" ref="J4">Func4(I4)</f>
        <v>1.1151046493231449</v>
      </c>
      <c r="K4" s="3">
        <f>ABS(J4-I4)</f>
        <v>2.338037020129824E-2</v>
      </c>
      <c r="L4" s="2"/>
      <c r="M4" s="2"/>
    </row>
    <row r="5" spans="2:13" x14ac:dyDescent="0.3">
      <c r="B5" s="3">
        <v>2</v>
      </c>
      <c r="C5" s="3">
        <f>D4</f>
        <v>1.1384850195244431</v>
      </c>
      <c r="D5" s="3" cm="1">
        <f t="array" ref="D5">Func4(C5)</f>
        <v>1.1151046493231449</v>
      </c>
      <c r="E5" s="1">
        <f>ABS(D4-C4)</f>
        <v>3.8485019524443054E-2</v>
      </c>
      <c r="H5" s="3" cm="1">
        <f t="array" ref="H5">Steffenson(C4,C5,C6)</f>
        <v>1.1239406352140138</v>
      </c>
      <c r="I5" s="3" cm="1">
        <f t="array" ref="I5">Func4(H5)</f>
        <v>1.1242352399215294</v>
      </c>
      <c r="J5" s="3" cm="1">
        <f t="array" ref="J5">Func4(I5)</f>
        <v>1.1240539689487479</v>
      </c>
      <c r="K5" s="3">
        <f>ABS(J5-I5)</f>
        <v>1.8127097278153315E-4</v>
      </c>
      <c r="L5" s="2"/>
      <c r="M5" s="2"/>
    </row>
    <row r="6" spans="2:13" x14ac:dyDescent="0.3">
      <c r="B6" s="3">
        <v>3</v>
      </c>
      <c r="C6" s="3">
        <f>D5</f>
        <v>1.1151046493231449</v>
      </c>
      <c r="D6" s="3" cm="1">
        <f t="array" ref="D6">Func4(C6)</f>
        <v>1.1296037622309232</v>
      </c>
      <c r="E6" s="1">
        <f t="shared" ref="E6:E18" si="0">ABS(D5-C5)</f>
        <v>2.338037020129824E-2</v>
      </c>
      <c r="H6" s="3" cm="1">
        <f t="array" ref="H6">Steffenson(H5,I5,J5)</f>
        <v>1.1241230188433604</v>
      </c>
      <c r="I6" s="3" cm="1">
        <f t="array" ref="I6">Func4(H6)</f>
        <v>1.1241230363877397</v>
      </c>
      <c r="J6" s="3" cm="1">
        <f t="array" ref="J6">Func4(I6)</f>
        <v>1.1241230255915868</v>
      </c>
      <c r="K6" s="3">
        <f t="shared" ref="K6:K7" si="1">ABS(J6-I6)</f>
        <v>1.0796152860592656E-8</v>
      </c>
      <c r="L6" s="2"/>
      <c r="M6" s="2"/>
    </row>
    <row r="7" spans="2:13" x14ac:dyDescent="0.3">
      <c r="B7" s="3">
        <v>4</v>
      </c>
      <c r="C7" s="3">
        <f>D6</f>
        <v>1.1296037622309232</v>
      </c>
      <c r="D7" s="3" cm="1">
        <f t="array" ref="D7">Func4(C7)</f>
        <v>1.1207244377122705</v>
      </c>
      <c r="E7" s="1">
        <f t="shared" si="0"/>
        <v>1.4499112907778278E-2</v>
      </c>
      <c r="H7" s="3" cm="1">
        <f t="array" ref="H7">Steffenson(H6,I6,J6)</f>
        <v>1.1241230297043154</v>
      </c>
      <c r="I7" s="3" cm="1">
        <f t="array" ref="I7">Func4(H7)</f>
        <v>1.1241230297043154</v>
      </c>
      <c r="J7" s="3" cm="1">
        <f t="array" ref="J7">Func4(I7)</f>
        <v>1.1241230297043154</v>
      </c>
      <c r="K7" s="3">
        <f t="shared" si="1"/>
        <v>0</v>
      </c>
      <c r="L7" s="2"/>
      <c r="M7" s="2"/>
    </row>
    <row r="8" spans="2:13" x14ac:dyDescent="0.3">
      <c r="B8" s="3">
        <v>5</v>
      </c>
      <c r="C8" s="3">
        <f t="shared" ref="C8:C17" si="2">D7</f>
        <v>1.1207244377122705</v>
      </c>
      <c r="D8" s="3" cm="1">
        <f t="array" ref="D8">Func4(C8)</f>
        <v>1.1262045415809285</v>
      </c>
      <c r="E8" s="1">
        <f t="shared" si="0"/>
        <v>8.8793245186526981E-3</v>
      </c>
      <c r="H8" s="2"/>
      <c r="I8" s="2"/>
      <c r="J8" s="2"/>
      <c r="K8" s="2"/>
      <c r="L8" s="2"/>
      <c r="M8" s="2"/>
    </row>
    <row r="9" spans="2:13" x14ac:dyDescent="0.3">
      <c r="B9" s="3">
        <v>6</v>
      </c>
      <c r="C9" s="3">
        <f t="shared" si="2"/>
        <v>1.1262045415809285</v>
      </c>
      <c r="D9" s="3" cm="1">
        <f t="array" ref="D9">Func4(C9)</f>
        <v>1.1228384199595931</v>
      </c>
      <c r="E9" s="1">
        <f t="shared" si="0"/>
        <v>5.4801038686580483E-3</v>
      </c>
      <c r="H9" s="2"/>
      <c r="I9" s="2"/>
      <c r="J9" s="2"/>
      <c r="K9" s="2"/>
      <c r="L9" s="2"/>
      <c r="M9" s="2"/>
    </row>
    <row r="10" spans="2:13" x14ac:dyDescent="0.3">
      <c r="B10" s="3">
        <v>7</v>
      </c>
      <c r="C10" s="3">
        <f t="shared" si="2"/>
        <v>1.1228384199595931</v>
      </c>
      <c r="D10" s="3" cm="1">
        <f t="array" ref="D10">Func4(C10)</f>
        <v>1.1249121182577568</v>
      </c>
      <c r="E10" s="1">
        <f t="shared" si="0"/>
        <v>3.3661216213354272E-3</v>
      </c>
      <c r="H10" s="3" t="s">
        <v>24</v>
      </c>
      <c r="I10" s="1" t="s">
        <v>25</v>
      </c>
      <c r="J10" s="1" t="s">
        <v>29</v>
      </c>
      <c r="K10" s="1" t="s">
        <v>30</v>
      </c>
      <c r="L10" s="1" t="s">
        <v>12</v>
      </c>
      <c r="M10" s="2"/>
    </row>
    <row r="11" spans="2:13" x14ac:dyDescent="0.3">
      <c r="B11" s="3">
        <v>8</v>
      </c>
      <c r="C11" s="3">
        <f t="shared" si="2"/>
        <v>1.1249121182577568</v>
      </c>
      <c r="D11" s="3" cm="1">
        <f t="array" ref="D11">Func4(C11)</f>
        <v>1.1236369198048672</v>
      </c>
      <c r="E11" s="1">
        <f t="shared" si="0"/>
        <v>2.0736982981637286E-3</v>
      </c>
      <c r="H11" s="3">
        <v>1</v>
      </c>
      <c r="I11" s="3">
        <f>C1</f>
        <v>1.1000000000000001</v>
      </c>
      <c r="J11" s="1" cm="1">
        <f t="array" ref="J11">Func4(I11)</f>
        <v>1.1384850195244431</v>
      </c>
      <c r="K11" s="1"/>
      <c r="L11" s="1"/>
      <c r="M11" s="2"/>
    </row>
    <row r="12" spans="2:13" x14ac:dyDescent="0.3">
      <c r="B12" s="3">
        <v>9</v>
      </c>
      <c r="C12" s="3">
        <f t="shared" si="2"/>
        <v>1.1236369198048672</v>
      </c>
      <c r="D12" s="3" cm="1">
        <f t="array" ref="D12">Func4(C12)</f>
        <v>1.1244219610705506</v>
      </c>
      <c r="E12" s="1">
        <f t="shared" si="0"/>
        <v>1.2751984528895921E-3</v>
      </c>
      <c r="H12" s="3">
        <v>2</v>
      </c>
      <c r="I12" s="1">
        <f>J11</f>
        <v>1.1384850195244431</v>
      </c>
      <c r="J12" s="1" cm="1">
        <f t="array" ref="J12">Func4(I12)</f>
        <v>1.1151046493231449</v>
      </c>
      <c r="K12" s="1"/>
      <c r="L12" s="1"/>
      <c r="M12" s="2"/>
    </row>
    <row r="13" spans="2:13" x14ac:dyDescent="0.3">
      <c r="B13" s="3">
        <v>10</v>
      </c>
      <c r="C13" s="3">
        <f t="shared" si="2"/>
        <v>1.1244219610705506</v>
      </c>
      <c r="D13" s="3" cm="1">
        <f t="array" ref="D13">Func4(C13)</f>
        <v>1.1239390019126256</v>
      </c>
      <c r="E13" s="1">
        <f t="shared" si="0"/>
        <v>7.8504126568335053E-4</v>
      </c>
      <c r="H13" s="3">
        <v>3</v>
      </c>
      <c r="I13" s="1">
        <f>J12</f>
        <v>1.1151046493231449</v>
      </c>
      <c r="J13" s="1"/>
      <c r="K13" s="1" cm="1">
        <f t="array" ref="K13">Steffenson(I13,I12,I11)</f>
        <v>1.1239406352140138</v>
      </c>
      <c r="L13" s="1">
        <f>ABS(K13-I13)</f>
        <v>8.8359858908688693E-3</v>
      </c>
      <c r="M13" s="2"/>
    </row>
    <row r="14" spans="2:13" x14ac:dyDescent="0.3">
      <c r="B14" s="3">
        <v>11</v>
      </c>
      <c r="C14" s="3">
        <f t="shared" si="2"/>
        <v>1.1239390019126256</v>
      </c>
      <c r="D14" s="3" cm="1">
        <f t="array" ref="D14">Func4(C14)</f>
        <v>1.1242362444810938</v>
      </c>
      <c r="E14" s="1">
        <f t="shared" si="0"/>
        <v>4.8295915792495592E-4</v>
      </c>
      <c r="H14" s="3">
        <v>4</v>
      </c>
      <c r="I14" s="1">
        <f>K13</f>
        <v>1.1239406352140138</v>
      </c>
      <c r="J14" s="1" cm="1">
        <f t="array" ref="J14">Func4(I14)</f>
        <v>1.1242352399215294</v>
      </c>
      <c r="K14" s="1"/>
      <c r="L14" s="1"/>
      <c r="M14" s="2"/>
    </row>
    <row r="15" spans="2:13" x14ac:dyDescent="0.3">
      <c r="B15" s="3">
        <v>12</v>
      </c>
      <c r="C15" s="3">
        <f t="shared" si="2"/>
        <v>1.1242362444810938</v>
      </c>
      <c r="D15" s="3" cm="1">
        <f t="array" ref="D15">Func4(C15)</f>
        <v>1.1240533505862838</v>
      </c>
      <c r="E15" s="1">
        <f t="shared" si="0"/>
        <v>2.972425684681923E-4</v>
      </c>
      <c r="H15" s="3">
        <v>5</v>
      </c>
      <c r="I15" s="1">
        <f>J14</f>
        <v>1.1242352399215294</v>
      </c>
      <c r="J15" s="1"/>
      <c r="K15" s="1" cm="1">
        <f t="array" ref="K15">Steffenson(I15,I14,I13)</f>
        <v>1.1242454012680174</v>
      </c>
      <c r="L15" s="1">
        <f>ABS(K15-I15)</f>
        <v>1.0161346488013479E-5</v>
      </c>
      <c r="M15" s="2"/>
    </row>
    <row r="16" spans="2:13" x14ac:dyDescent="0.3">
      <c r="B16" s="3">
        <v>13</v>
      </c>
      <c r="C16" s="3">
        <f t="shared" si="2"/>
        <v>1.1240533505862838</v>
      </c>
      <c r="D16" s="3" cm="1">
        <f t="array" ref="D16">Func4(C16)</f>
        <v>1.1241659034587395</v>
      </c>
      <c r="E16" s="1">
        <f t="shared" si="0"/>
        <v>1.8289389481007667E-4</v>
      </c>
      <c r="H16" s="3">
        <v>6</v>
      </c>
      <c r="I16" s="1">
        <f>K15</f>
        <v>1.1242454012680174</v>
      </c>
      <c r="J16" s="1" cm="1">
        <f t="array" ref="J16">Func4(I16)</f>
        <v>1.124047713993197</v>
      </c>
      <c r="K16" s="1"/>
      <c r="L16" s="1"/>
      <c r="M16" s="2"/>
    </row>
    <row r="17" spans="2:12" x14ac:dyDescent="0.3">
      <c r="B17" s="3">
        <v>14</v>
      </c>
      <c r="C17" s="3">
        <f t="shared" si="2"/>
        <v>1.1241659034587395</v>
      </c>
      <c r="D17" s="3" cm="1">
        <f t="array" ref="D17">Func4(C17)</f>
        <v>1.1240966452277166</v>
      </c>
      <c r="E17" s="1">
        <f t="shared" si="0"/>
        <v>1.1255287245570678E-4</v>
      </c>
      <c r="H17" s="3">
        <v>7</v>
      </c>
      <c r="I17" s="1">
        <f>J16</f>
        <v>1.124047713993197</v>
      </c>
      <c r="J17" s="1"/>
      <c r="K17" s="1" cm="1">
        <f t="array" ref="K17">Steffenson(I17,I16,I15)</f>
        <v>1.124235736691543</v>
      </c>
      <c r="L17" s="1">
        <f>ABS(K17-I17)</f>
        <v>1.8802269834594654E-4</v>
      </c>
    </row>
    <row r="18" spans="2:12" x14ac:dyDescent="0.3">
      <c r="B18" s="3">
        <v>15</v>
      </c>
      <c r="C18" s="3">
        <f>D17</f>
        <v>1.1240966452277166</v>
      </c>
      <c r="D18" s="3" cm="1">
        <f t="array" ref="D18">Func4(C18)</f>
        <v>1.1241392651250239</v>
      </c>
      <c r="E18" s="1">
        <f t="shared" si="0"/>
        <v>6.9258231022883976E-5</v>
      </c>
    </row>
    <row r="28" spans="2:12" x14ac:dyDescent="0.3">
      <c r="G28" s="2"/>
    </row>
    <row r="29" spans="2:12" x14ac:dyDescent="0.3">
      <c r="G29" s="2"/>
    </row>
    <row r="30" spans="2:12" x14ac:dyDescent="0.3">
      <c r="G30" s="2"/>
    </row>
    <row r="31" spans="2:12" x14ac:dyDescent="0.3">
      <c r="G31" s="2"/>
    </row>
    <row r="32" spans="2:12" x14ac:dyDescent="0.3">
      <c r="G32" s="2"/>
    </row>
    <row r="33" spans="7:7" x14ac:dyDescent="0.3">
      <c r="G33" s="2"/>
    </row>
  </sheetData>
  <mergeCells count="1">
    <mergeCell ref="H2:K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E08659-E8DF-40E4-B3F1-848212345BE2}">
  <sheetPr codeName="Hoja9"/>
  <dimension ref="B1:G15"/>
  <sheetViews>
    <sheetView tabSelected="1" zoomScale="175" workbookViewId="0">
      <selection activeCell="E6" sqref="E6"/>
    </sheetView>
  </sheetViews>
  <sheetFormatPr baseColWidth="10" defaultRowHeight="14.4" x14ac:dyDescent="0.3"/>
  <sheetData>
    <row r="1" spans="2:7" x14ac:dyDescent="0.3">
      <c r="B1" s="3" t="s">
        <v>6</v>
      </c>
      <c r="C1" s="3">
        <v>1</v>
      </c>
    </row>
    <row r="2" spans="2:7" x14ac:dyDescent="0.3">
      <c r="B2" s="3" t="s">
        <v>7</v>
      </c>
      <c r="C2" s="3">
        <v>3</v>
      </c>
    </row>
    <row r="4" spans="2:7" x14ac:dyDescent="0.3">
      <c r="B4" s="3" t="s">
        <v>8</v>
      </c>
      <c r="C4" s="3" t="s">
        <v>9</v>
      </c>
      <c r="D4" s="3" t="s">
        <v>10</v>
      </c>
      <c r="E4" s="3" t="s">
        <v>11</v>
      </c>
      <c r="F4" s="3" t="s">
        <v>31</v>
      </c>
      <c r="G4" s="3" t="s">
        <v>12</v>
      </c>
    </row>
    <row r="5" spans="2:7" x14ac:dyDescent="0.3">
      <c r="B5" s="3">
        <v>1</v>
      </c>
      <c r="C5" s="3">
        <f>C1</f>
        <v>1</v>
      </c>
      <c r="D5" s="3">
        <f>C2</f>
        <v>3</v>
      </c>
      <c r="E5" s="3" cm="1">
        <f t="array" ref="E5">p2_Secante3(C5,D5)</f>
        <v>1.021276595744681</v>
      </c>
      <c r="F5" s="3" cm="1">
        <f t="array" ref="F5">Steffenson(C5,D5,E5)</f>
        <v>2.0053475935828877</v>
      </c>
      <c r="G5" s="3">
        <f>ABS(E5-D5)</f>
        <v>1.978723404255319</v>
      </c>
    </row>
    <row r="6" spans="2:7" x14ac:dyDescent="0.3">
      <c r="B6" s="3">
        <v>2</v>
      </c>
      <c r="C6" s="1">
        <f>F5</f>
        <v>2.0053475935828877</v>
      </c>
      <c r="D6" s="1" cm="1">
        <f t="array" ref="D6">p2_Secante3(E5,C6)</f>
        <v>1.0628539774672041</v>
      </c>
      <c r="E6" s="1" cm="1">
        <f t="array" ref="E6">p2_Secante3(C6,D6)</f>
        <v>1.0880394818192078</v>
      </c>
      <c r="F6" s="3" cm="1">
        <f t="array" ref="F6">Steffenson(C6,D6,E6)</f>
        <v>1.0873839859879468</v>
      </c>
      <c r="G6" s="3">
        <f t="shared" ref="G6:G15" si="0">ABS(E6-D6)</f>
        <v>2.5185504352003729E-2</v>
      </c>
    </row>
    <row r="7" spans="2:7" x14ac:dyDescent="0.3">
      <c r="B7" s="3">
        <v>3</v>
      </c>
      <c r="C7" s="1">
        <f t="shared" ref="C7:C15" si="1">F6</f>
        <v>1.0873839859879468</v>
      </c>
      <c r="D7" s="1" cm="1">
        <f t="array" ref="D7">p2_Secante3(E6,C7)</f>
        <v>1.1255672640151728</v>
      </c>
      <c r="E7" s="1" cm="1">
        <f t="array" ref="E7">p2_Secante3(C7,D7)</f>
        <v>1.1240665005242458</v>
      </c>
      <c r="F7" s="3" cm="1">
        <f t="array" ref="F7">Steffenson(C7,D7,E7)</f>
        <v>1.1241232561108629</v>
      </c>
      <c r="G7" s="3">
        <f t="shared" si="0"/>
        <v>1.5007634909269818E-3</v>
      </c>
    </row>
    <row r="8" spans="2:7" x14ac:dyDescent="0.3">
      <c r="B8" s="3">
        <v>4</v>
      </c>
      <c r="C8" s="1">
        <f t="shared" si="1"/>
        <v>1.1241232561108629</v>
      </c>
      <c r="D8" s="1" cm="1">
        <f t="array" ref="D8">p2_Secante3(E7,C8)</f>
        <v>1.1241230296909539</v>
      </c>
      <c r="E8" s="1" cm="1">
        <f t="array" ref="E8">p2_Secante3(C8,D8)</f>
        <v>1.1241230297043154</v>
      </c>
      <c r="F8" s="3" cm="1">
        <f t="array" ref="F8">Steffenson(C8,D8,E8)</f>
        <v>1.1241230297043145</v>
      </c>
      <c r="G8" s="3">
        <f t="shared" si="0"/>
        <v>1.3361534101363759E-11</v>
      </c>
    </row>
    <row r="9" spans="2:7" x14ac:dyDescent="0.3">
      <c r="B9" s="3">
        <v>5</v>
      </c>
      <c r="C9" s="1">
        <f t="shared" si="1"/>
        <v>1.1241230297043145</v>
      </c>
      <c r="D9" s="1" cm="1">
        <f t="array" ref="D9">p2_Secante3(E8,C9)</f>
        <v>1.1241230297043154</v>
      </c>
      <c r="E9" s="1" cm="1">
        <f t="array" ref="E9">p2_Secante3(C9,D9)</f>
        <v>1.1241230297043154</v>
      </c>
      <c r="F9" s="3" cm="1">
        <f t="array" ref="F9">Steffenson(C9,D9,E9)</f>
        <v>1.1241230297043154</v>
      </c>
      <c r="G9" s="3">
        <f t="shared" si="0"/>
        <v>0</v>
      </c>
    </row>
    <row r="10" spans="2:7" x14ac:dyDescent="0.3">
      <c r="B10" s="3">
        <v>6</v>
      </c>
      <c r="C10" s="1">
        <f t="shared" si="1"/>
        <v>1.1241230297043154</v>
      </c>
      <c r="D10" s="1" t="e" cm="1">
        <f t="array" ref="D10">p2_Secante3(E9,C10)</f>
        <v>#VALUE!</v>
      </c>
      <c r="E10" s="1" t="e" cm="1">
        <f t="array" ref="E10">p2_Secante3(C10,D10)</f>
        <v>#VALUE!</v>
      </c>
      <c r="F10" s="3" t="e" cm="1">
        <f t="array" ref="F10">Steffenson(C10,D10,E10)</f>
        <v>#VALUE!</v>
      </c>
      <c r="G10" s="3" t="e">
        <f t="shared" si="0"/>
        <v>#VALUE!</v>
      </c>
    </row>
    <row r="11" spans="2:7" x14ac:dyDescent="0.3">
      <c r="B11" s="3">
        <v>7</v>
      </c>
      <c r="C11" s="1" t="e">
        <f t="shared" si="1"/>
        <v>#VALUE!</v>
      </c>
      <c r="D11" s="1" t="e" cm="1">
        <f t="array" ref="D11">p2_Secante3(E10,C11)</f>
        <v>#VALUE!</v>
      </c>
      <c r="E11" s="1" t="e" cm="1">
        <f t="array" ref="E11">p2_Secante3(C11,D11)</f>
        <v>#VALUE!</v>
      </c>
      <c r="F11" s="3" t="e" cm="1">
        <f t="array" ref="F11">Steffenson(C11,D11,E11)</f>
        <v>#VALUE!</v>
      </c>
      <c r="G11" s="3" t="e">
        <f t="shared" si="0"/>
        <v>#VALUE!</v>
      </c>
    </row>
    <row r="12" spans="2:7" x14ac:dyDescent="0.3">
      <c r="B12" s="3">
        <v>8</v>
      </c>
      <c r="C12" s="1" t="e">
        <f t="shared" si="1"/>
        <v>#VALUE!</v>
      </c>
      <c r="D12" s="1" t="e" cm="1">
        <f t="array" ref="D12">p2_Secante3(E11,C12)</f>
        <v>#VALUE!</v>
      </c>
      <c r="E12" s="1" t="e" cm="1">
        <f t="array" ref="E12">p2_Secante3(C12,D12)</f>
        <v>#VALUE!</v>
      </c>
      <c r="F12" s="3" t="e" cm="1">
        <f t="array" ref="F12">Steffenson(C12,D12,E12)</f>
        <v>#VALUE!</v>
      </c>
      <c r="G12" s="3" t="e">
        <f t="shared" si="0"/>
        <v>#VALUE!</v>
      </c>
    </row>
    <row r="13" spans="2:7" x14ac:dyDescent="0.3">
      <c r="B13" s="3">
        <v>9</v>
      </c>
      <c r="C13" s="1" t="e">
        <f t="shared" si="1"/>
        <v>#VALUE!</v>
      </c>
      <c r="D13" s="1" t="e" cm="1">
        <f t="array" ref="D13">p2_Secante3(E12,C13)</f>
        <v>#VALUE!</v>
      </c>
      <c r="E13" s="1" t="e" cm="1">
        <f t="array" ref="E13">p2_Secante3(C13,D13)</f>
        <v>#VALUE!</v>
      </c>
      <c r="F13" s="3" t="e" cm="1">
        <f t="array" ref="F13">Steffenson(C13,D13,E13)</f>
        <v>#VALUE!</v>
      </c>
      <c r="G13" s="3" t="e">
        <f t="shared" si="0"/>
        <v>#VALUE!</v>
      </c>
    </row>
    <row r="14" spans="2:7" x14ac:dyDescent="0.3">
      <c r="B14" s="3">
        <v>10</v>
      </c>
      <c r="C14" s="1" t="e">
        <f t="shared" si="1"/>
        <v>#VALUE!</v>
      </c>
      <c r="D14" s="1" t="e" cm="1">
        <f t="array" ref="D14">p2_Secante3(E13,C14)</f>
        <v>#VALUE!</v>
      </c>
      <c r="E14" s="1" t="e" cm="1">
        <f t="array" ref="E14">p2_Secante3(C14,D14)</f>
        <v>#VALUE!</v>
      </c>
      <c r="F14" s="3" t="e" cm="1">
        <f t="array" ref="F14">Steffenson(C14,D14,E14)</f>
        <v>#VALUE!</v>
      </c>
      <c r="G14" s="3" t="e">
        <f t="shared" si="0"/>
        <v>#VALUE!</v>
      </c>
    </row>
    <row r="15" spans="2:7" x14ac:dyDescent="0.3">
      <c r="B15" s="3">
        <v>11</v>
      </c>
      <c r="C15" s="1" t="e">
        <f t="shared" si="1"/>
        <v>#VALUE!</v>
      </c>
      <c r="D15" s="1" t="e" cm="1">
        <f t="array" ref="D15">p2_Secante3(E14,C15)</f>
        <v>#VALUE!</v>
      </c>
      <c r="E15" s="1" t="e" cm="1">
        <f t="array" ref="E15">p2_Secante3(C15,D15)</f>
        <v>#VALUE!</v>
      </c>
      <c r="F15" s="3" t="e" cm="1">
        <f t="array" ref="F15">Steffenson(C15,D15,E15)</f>
        <v>#VALUE!</v>
      </c>
      <c r="G15" s="3" t="e">
        <f t="shared" si="0"/>
        <v>#VALUE!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Secante</vt:lpstr>
      <vt:lpstr>Tabla de Biseccion</vt:lpstr>
      <vt:lpstr>Metodo Secante</vt:lpstr>
      <vt:lpstr>Metodo Falsa Posicion</vt:lpstr>
      <vt:lpstr>Metodo Newton - Rhapson</vt:lpstr>
      <vt:lpstr>Metodo Punto Fijo</vt:lpstr>
      <vt:lpstr>Medoto de Steffenson</vt:lpstr>
      <vt:lpstr>Metodo Steffenson y Secante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ortigoza</dc:creator>
  <cp:lastModifiedBy>Margiee Coy</cp:lastModifiedBy>
  <dcterms:created xsi:type="dcterms:W3CDTF">2026-08-26T20:38:45Z</dcterms:created>
  <dcterms:modified xsi:type="dcterms:W3CDTF">2026-09-08T15:50:25Z</dcterms:modified>
</cp:coreProperties>
</file>