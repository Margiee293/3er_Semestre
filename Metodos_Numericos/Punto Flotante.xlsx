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730d9cde4bfb5/Escritorio/Metodos_Numericos/"/>
    </mc:Choice>
  </mc:AlternateContent>
  <xr:revisionPtr revIDLastSave="0" documentId="13_ncr:1_{76590928-B4CC-472E-86F7-F2F7A26F6F0B}" xr6:coauthVersionLast="47" xr6:coauthVersionMax="47" xr10:uidLastSave="{00000000-0000-0000-0000-000000000000}"/>
  <bookViews>
    <workbookView xWindow="-108" yWindow="-108" windowWidth="23256" windowHeight="12456" activeTab="1" xr2:uid="{CAF0949C-923C-4CF1-B11B-94E6CAB3366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5" i="2" l="1"/>
  <c r="G46" i="2" s="1"/>
  <c r="N55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H45" i="2"/>
  <c r="D42" i="2"/>
  <c r="E39" i="2"/>
  <c r="K19" i="2"/>
  <c r="L18" i="2"/>
  <c r="M18" i="2" s="1"/>
  <c r="K18" i="2"/>
  <c r="M17" i="2"/>
  <c r="L17" i="2"/>
  <c r="K17" i="2"/>
  <c r="F19" i="2"/>
  <c r="H19" i="2" s="1"/>
  <c r="F20" i="2" s="1"/>
  <c r="H18" i="2"/>
  <c r="F18" i="2"/>
  <c r="H17" i="2"/>
  <c r="G17" i="2"/>
  <c r="F17" i="2"/>
  <c r="D15" i="2"/>
  <c r="D14" i="2"/>
  <c r="D13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S8" i="1"/>
  <c r="R8" i="1"/>
  <c r="Q8" i="1"/>
  <c r="P8" i="1"/>
  <c r="O8" i="1"/>
  <c r="N8" i="1"/>
  <c r="M8" i="1"/>
  <c r="L8" i="1"/>
  <c r="K8" i="1"/>
  <c r="J8" i="1"/>
  <c r="H8" i="1"/>
  <c r="G8" i="1"/>
  <c r="F8" i="1"/>
  <c r="E8" i="1"/>
  <c r="I8" i="1"/>
  <c r="F11" i="1"/>
  <c r="F10" i="1"/>
  <c r="I46" i="2" l="1"/>
  <c r="G47" i="2" s="1"/>
  <c r="H46" i="2"/>
  <c r="L19" i="2"/>
  <c r="M19" i="2" s="1"/>
  <c r="K20" i="2" s="1"/>
  <c r="G20" i="2"/>
  <c r="H20" i="2"/>
  <c r="F21" i="2" s="1"/>
  <c r="G19" i="2"/>
  <c r="G18" i="2"/>
  <c r="F13" i="1"/>
  <c r="F15" i="1"/>
  <c r="I47" i="2" l="1"/>
  <c r="G48" i="2" s="1"/>
  <c r="H47" i="2"/>
  <c r="L20" i="2"/>
  <c r="M20" i="2" s="1"/>
  <c r="K21" i="2" s="1"/>
  <c r="H21" i="2"/>
  <c r="F22" i="2" s="1"/>
  <c r="G21" i="2"/>
  <c r="E17" i="1"/>
  <c r="I48" i="2" l="1"/>
  <c r="G49" i="2" s="1"/>
  <c r="H48" i="2"/>
  <c r="L21" i="2"/>
  <c r="M21" i="2"/>
  <c r="K22" i="2" s="1"/>
  <c r="H22" i="2"/>
  <c r="F23" i="2" s="1"/>
  <c r="G22" i="2"/>
  <c r="I49" i="2" l="1"/>
  <c r="G50" i="2" s="1"/>
  <c r="H49" i="2"/>
  <c r="L22" i="2"/>
  <c r="M22" i="2" s="1"/>
  <c r="K23" i="2" s="1"/>
  <c r="H23" i="2"/>
  <c r="F24" i="2" s="1"/>
  <c r="G23" i="2"/>
  <c r="H50" i="2" l="1"/>
  <c r="I50" i="2"/>
  <c r="G51" i="2" s="1"/>
  <c r="L23" i="2"/>
  <c r="M23" i="2" s="1"/>
  <c r="K24" i="2" s="1"/>
  <c r="H24" i="2"/>
  <c r="F25" i="2" s="1"/>
  <c r="G24" i="2"/>
  <c r="I51" i="2" l="1"/>
  <c r="G52" i="2" s="1"/>
  <c r="H51" i="2"/>
  <c r="M24" i="2"/>
  <c r="K25" i="2" s="1"/>
  <c r="L24" i="2"/>
  <c r="G25" i="2"/>
  <c r="H25" i="2"/>
  <c r="F26" i="2" s="1"/>
  <c r="I52" i="2" l="1"/>
  <c r="H52" i="2"/>
  <c r="L25" i="2"/>
  <c r="M25" i="2" s="1"/>
  <c r="K26" i="2" s="1"/>
  <c r="H26" i="2"/>
  <c r="F27" i="2" s="1"/>
  <c r="G26" i="2"/>
  <c r="L26" i="2" l="1"/>
  <c r="M26" i="2" s="1"/>
  <c r="K27" i="2" s="1"/>
  <c r="G27" i="2"/>
  <c r="H27" i="2"/>
  <c r="F28" i="2" s="1"/>
  <c r="L27" i="2" l="1"/>
  <c r="M27" i="2" s="1"/>
  <c r="K28" i="2" s="1"/>
  <c r="G28" i="2"/>
  <c r="H28" i="2"/>
  <c r="L28" i="2" l="1"/>
  <c r="M28" i="2" s="1"/>
  <c r="K29" i="2" s="1"/>
  <c r="L29" i="2" l="1"/>
  <c r="M29" i="2" s="1"/>
  <c r="K30" i="2" s="1"/>
  <c r="L30" i="2" l="1"/>
  <c r="M30" i="2" s="1"/>
</calcChain>
</file>

<file path=xl/sharedStrings.xml><?xml version="1.0" encoding="utf-8"?>
<sst xmlns="http://schemas.openxmlformats.org/spreadsheetml/2006/main" count="37" uniqueCount="29">
  <si>
    <t>CARACTERÍSTICA</t>
  </si>
  <si>
    <t>SIGNO</t>
  </si>
  <si>
    <t>MANTISA</t>
  </si>
  <si>
    <t>Valor Max Exponente=</t>
  </si>
  <si>
    <t>Num bits de signo =</t>
  </si>
  <si>
    <t xml:space="preserve">Valor Max Exp /2 = </t>
  </si>
  <si>
    <t>Valor Exponente=</t>
  </si>
  <si>
    <t>Parte decimal =</t>
  </si>
  <si>
    <t xml:space="preserve">NPF = </t>
  </si>
  <si>
    <t>Numero a representar=</t>
  </si>
  <si>
    <t>Parte entera=</t>
  </si>
  <si>
    <t>Parte decinal=</t>
  </si>
  <si>
    <t>Signo=</t>
  </si>
  <si>
    <t>Conversión parte entera</t>
  </si>
  <si>
    <t>Conversión parte decimal</t>
  </si>
  <si>
    <t>x</t>
  </si>
  <si>
    <t>x/2</t>
  </si>
  <si>
    <t>y</t>
  </si>
  <si>
    <t>int(y*2)</t>
  </si>
  <si>
    <t>Número base 2=</t>
  </si>
  <si>
    <t>.</t>
  </si>
  <si>
    <t>Decimal
(y*2)</t>
  </si>
  <si>
    <t>1 . 0 1 0 0 0 1 0 0 1 0 1 1 0 0 0 0 0 1 x 2^8</t>
  </si>
  <si>
    <t>ValExp-15 =</t>
  </si>
  <si>
    <t xml:space="preserve">ValExp = </t>
  </si>
  <si>
    <t>Conv Val Exp a binario</t>
  </si>
  <si>
    <t>residuo de
(x / 2)</t>
  </si>
  <si>
    <t>Residuo de x/2</t>
  </si>
  <si>
    <t>Valor decimal=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</si>
</sst>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4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4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5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F313-2699-4555-8A88-E20A5056717D}">
  <dimension ref="D2:S17"/>
  <sheetViews>
    <sheetView workbookViewId="0">
      <selection activeCell="I18" sqref="I18"/>
    </sheetView>
  </sheetViews>
  <sheetFormatPr baseColWidth="10" defaultRowHeight="14.4" x14ac:dyDescent="0.3"/>
  <cols>
    <col min="5" max="5" width="10.88671875" customWidth="1"/>
  </cols>
  <sheetData>
    <row r="2" spans="4:19" x14ac:dyDescent="0.3">
      <c r="D2" s="19" t="s">
        <v>4</v>
      </c>
      <c r="E2" s="19"/>
      <c r="F2">
        <v>5</v>
      </c>
    </row>
    <row r="5" spans="4:19" x14ac:dyDescent="0.3">
      <c r="E5" s="1">
        <v>4</v>
      </c>
      <c r="F5" s="1">
        <v>3</v>
      </c>
      <c r="G5" s="1">
        <v>2</v>
      </c>
      <c r="H5" s="1">
        <v>1</v>
      </c>
      <c r="I5" s="1">
        <v>0</v>
      </c>
      <c r="J5" s="1">
        <v>-1</v>
      </c>
      <c r="K5" s="1">
        <v>-2</v>
      </c>
      <c r="L5" s="1">
        <v>-3</v>
      </c>
      <c r="M5" s="1">
        <v>-4</v>
      </c>
      <c r="N5" s="1">
        <v>-5</v>
      </c>
      <c r="O5" s="1">
        <v>-6</v>
      </c>
      <c r="P5" s="1">
        <v>-7</v>
      </c>
      <c r="Q5" s="1">
        <v>-8</v>
      </c>
      <c r="R5" s="1">
        <v>-9</v>
      </c>
      <c r="S5" s="1">
        <v>-10</v>
      </c>
    </row>
    <row r="6" spans="4:19" x14ac:dyDescent="0.3">
      <c r="D6" s="6" t="s">
        <v>1</v>
      </c>
      <c r="E6" s="13" t="s">
        <v>0</v>
      </c>
      <c r="F6" s="13"/>
      <c r="G6" s="13"/>
      <c r="H6" s="13"/>
      <c r="I6" s="13"/>
      <c r="J6" s="14" t="s">
        <v>2</v>
      </c>
      <c r="K6" s="14"/>
      <c r="L6" s="14"/>
      <c r="M6" s="14"/>
      <c r="N6" s="14"/>
      <c r="O6" s="14"/>
      <c r="P6" s="14"/>
      <c r="Q6" s="14"/>
      <c r="R6" s="14"/>
      <c r="S6" s="14"/>
    </row>
    <row r="7" spans="4:19" x14ac:dyDescent="0.3">
      <c r="D7" s="3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5">
        <v>0</v>
      </c>
      <c r="K7" s="5">
        <v>1</v>
      </c>
      <c r="L7" s="5">
        <v>1</v>
      </c>
      <c r="M7" s="5">
        <v>0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0</v>
      </c>
    </row>
    <row r="8" spans="4:19" x14ac:dyDescent="0.3">
      <c r="E8" s="2">
        <f t="shared" ref="E8:H8" si="0">E7*2^E5</f>
        <v>16</v>
      </c>
      <c r="F8" s="2">
        <f t="shared" si="0"/>
        <v>0</v>
      </c>
      <c r="G8" s="2">
        <f t="shared" si="0"/>
        <v>0</v>
      </c>
      <c r="H8" s="2">
        <f t="shared" si="0"/>
        <v>0</v>
      </c>
      <c r="I8" s="2">
        <f>I7*2^I5</f>
        <v>0</v>
      </c>
      <c r="J8" s="2">
        <f>J7*2^J5</f>
        <v>0</v>
      </c>
      <c r="K8" s="2">
        <f t="shared" ref="K8:S8" si="1">K7*2^K5</f>
        <v>0.25</v>
      </c>
      <c r="L8" s="2">
        <f t="shared" si="1"/>
        <v>0.125</v>
      </c>
      <c r="M8" s="2">
        <f t="shared" si="1"/>
        <v>0</v>
      </c>
      <c r="N8" s="2">
        <f t="shared" si="1"/>
        <v>3.125E-2</v>
      </c>
      <c r="O8" s="2">
        <f t="shared" si="1"/>
        <v>0</v>
      </c>
      <c r="P8" s="2">
        <f t="shared" si="1"/>
        <v>7.8125E-3</v>
      </c>
      <c r="Q8" s="2">
        <f t="shared" si="1"/>
        <v>0</v>
      </c>
      <c r="R8" s="2">
        <f t="shared" si="1"/>
        <v>0</v>
      </c>
      <c r="S8" s="2">
        <f t="shared" si="1"/>
        <v>0</v>
      </c>
    </row>
    <row r="10" spans="4:19" x14ac:dyDescent="0.3">
      <c r="D10" s="19" t="s">
        <v>3</v>
      </c>
      <c r="E10" s="19"/>
      <c r="F10">
        <f>2^F2-1</f>
        <v>31</v>
      </c>
    </row>
    <row r="11" spans="4:19" x14ac:dyDescent="0.3">
      <c r="D11" s="19" t="s">
        <v>5</v>
      </c>
      <c r="E11" s="19"/>
      <c r="F11">
        <f>TRUNC(F10/2)</f>
        <v>15</v>
      </c>
    </row>
    <row r="13" spans="4:19" x14ac:dyDescent="0.3">
      <c r="D13" s="19" t="s">
        <v>6</v>
      </c>
      <c r="E13" s="19"/>
      <c r="F13">
        <f>SUM(E8:I8)</f>
        <v>16</v>
      </c>
    </row>
    <row r="15" spans="4:19" x14ac:dyDescent="0.3">
      <c r="D15" s="19" t="s">
        <v>7</v>
      </c>
      <c r="E15" s="19"/>
      <c r="F15">
        <f>SUM(J8:S8)</f>
        <v>0.4140625</v>
      </c>
    </row>
    <row r="17" spans="4:5" x14ac:dyDescent="0.3">
      <c r="D17" t="s">
        <v>8</v>
      </c>
      <c r="E17">
        <f>-1^D7*2^(F13-F11)*(1+F15)</f>
        <v>2.828125</v>
      </c>
    </row>
  </sheetData>
  <mergeCells count="7">
    <mergeCell ref="D15:E15"/>
    <mergeCell ref="E6:I6"/>
    <mergeCell ref="J6:S6"/>
    <mergeCell ref="D10:E10"/>
    <mergeCell ref="D2:E2"/>
    <mergeCell ref="D11:E11"/>
    <mergeCell ref="D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946F-6ED7-4AD5-BD27-B5CBEB5173D4}">
  <dimension ref="B2:AA63"/>
  <sheetViews>
    <sheetView tabSelected="1" topLeftCell="A40" workbookViewId="0">
      <selection activeCell="D50" sqref="D50"/>
    </sheetView>
  </sheetViews>
  <sheetFormatPr baseColWidth="10" defaultRowHeight="14.4" x14ac:dyDescent="0.3"/>
  <cols>
    <col min="2" max="2" width="10.88671875" customWidth="1"/>
    <col min="4" max="5" width="8.6640625" customWidth="1"/>
    <col min="6" max="29" width="9.44140625" customWidth="1"/>
  </cols>
  <sheetData>
    <row r="2" spans="2:18" x14ac:dyDescent="0.3">
      <c r="C2" s="15" t="s">
        <v>9</v>
      </c>
      <c r="D2" s="15"/>
      <c r="E2" s="2">
        <v>324.68900000000002</v>
      </c>
    </row>
    <row r="8" spans="2:18" x14ac:dyDescent="0.3">
      <c r="D8" s="1">
        <v>4</v>
      </c>
      <c r="E8" s="1">
        <v>3</v>
      </c>
      <c r="F8" s="1">
        <v>2</v>
      </c>
      <c r="G8" s="1">
        <v>1</v>
      </c>
      <c r="H8" s="1">
        <v>0</v>
      </c>
      <c r="I8" s="1">
        <v>-1</v>
      </c>
      <c r="J8" s="1">
        <v>-2</v>
      </c>
      <c r="K8" s="1">
        <v>-3</v>
      </c>
      <c r="L8" s="1">
        <v>-4</v>
      </c>
      <c r="M8" s="1">
        <v>-5</v>
      </c>
      <c r="N8" s="1">
        <v>-6</v>
      </c>
      <c r="O8" s="1">
        <v>-7</v>
      </c>
      <c r="P8" s="1">
        <v>-8</v>
      </c>
      <c r="Q8" s="1">
        <v>-9</v>
      </c>
      <c r="R8" s="1">
        <v>-10</v>
      </c>
    </row>
    <row r="9" spans="2:18" x14ac:dyDescent="0.3">
      <c r="C9" s="6" t="s">
        <v>1</v>
      </c>
      <c r="D9" s="13" t="s">
        <v>0</v>
      </c>
      <c r="E9" s="13"/>
      <c r="F9" s="13"/>
      <c r="G9" s="13"/>
      <c r="H9" s="13"/>
      <c r="I9" s="14" t="s">
        <v>2</v>
      </c>
      <c r="J9" s="14"/>
      <c r="K9" s="14"/>
      <c r="L9" s="14"/>
      <c r="M9" s="14"/>
      <c r="N9" s="14"/>
      <c r="O9" s="14"/>
      <c r="P9" s="14"/>
      <c r="Q9" s="14"/>
      <c r="R9" s="14"/>
    </row>
    <row r="10" spans="2:18" x14ac:dyDescent="0.3">
      <c r="C10" s="3">
        <v>0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5">
        <v>0</v>
      </c>
      <c r="J10" s="5">
        <v>1</v>
      </c>
      <c r="K10" s="5">
        <v>1</v>
      </c>
      <c r="L10" s="5">
        <v>0</v>
      </c>
      <c r="M10" s="5">
        <v>1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</row>
    <row r="11" spans="2:18" x14ac:dyDescent="0.3">
      <c r="D11" s="2">
        <f t="shared" ref="D11:G11" si="0">D10*2^D8</f>
        <v>16</v>
      </c>
      <c r="E11" s="2">
        <f t="shared" si="0"/>
        <v>0</v>
      </c>
      <c r="F11" s="2">
        <f t="shared" si="0"/>
        <v>0</v>
      </c>
      <c r="G11" s="2">
        <f t="shared" si="0"/>
        <v>0</v>
      </c>
      <c r="H11" s="2">
        <f>H10*2^H8</f>
        <v>0</v>
      </c>
      <c r="I11" s="2">
        <f>I10*2^I8</f>
        <v>0</v>
      </c>
      <c r="J11" s="2">
        <f t="shared" ref="J11:R11" si="1">J10*2^J8</f>
        <v>0.25</v>
      </c>
      <c r="K11" s="2">
        <f t="shared" si="1"/>
        <v>0.125</v>
      </c>
      <c r="L11" s="2">
        <f t="shared" si="1"/>
        <v>0</v>
      </c>
      <c r="M11" s="2">
        <f t="shared" si="1"/>
        <v>3.125E-2</v>
      </c>
      <c r="N11" s="2">
        <f t="shared" si="1"/>
        <v>0</v>
      </c>
      <c r="O11" s="2">
        <f t="shared" si="1"/>
        <v>7.8125E-3</v>
      </c>
      <c r="P11" s="2">
        <f t="shared" si="1"/>
        <v>0</v>
      </c>
      <c r="Q11" s="2">
        <f t="shared" si="1"/>
        <v>0</v>
      </c>
      <c r="R11" s="2">
        <f t="shared" si="1"/>
        <v>0</v>
      </c>
    </row>
    <row r="13" spans="2:18" x14ac:dyDescent="0.3">
      <c r="B13" s="17" t="s">
        <v>12</v>
      </c>
      <c r="C13" s="18"/>
      <c r="D13" s="7" t="str">
        <f>IF(E2&gt;0,"+","-")</f>
        <v>+</v>
      </c>
    </row>
    <row r="14" spans="2:18" x14ac:dyDescent="0.3">
      <c r="B14" s="16" t="s">
        <v>10</v>
      </c>
      <c r="C14" s="16"/>
      <c r="D14" s="2">
        <f>ABS(TRUNC(E2,0))</f>
        <v>324</v>
      </c>
    </row>
    <row r="15" spans="2:18" x14ac:dyDescent="0.3">
      <c r="B15" s="16" t="s">
        <v>11</v>
      </c>
      <c r="C15" s="16"/>
      <c r="D15" s="2">
        <f>ABS(E2)-ABS(TRUNC(E2,0))</f>
        <v>0.68900000000002137</v>
      </c>
      <c r="F15" s="15" t="s">
        <v>13</v>
      </c>
      <c r="G15" s="15"/>
      <c r="H15" s="2"/>
      <c r="I15" s="19"/>
      <c r="J15" s="19"/>
      <c r="K15" s="20" t="s">
        <v>14</v>
      </c>
      <c r="L15" s="24"/>
      <c r="M15" s="21"/>
    </row>
    <row r="16" spans="2:18" ht="28.8" x14ac:dyDescent="0.3">
      <c r="F16" s="8" t="s">
        <v>15</v>
      </c>
      <c r="G16" s="12" t="s">
        <v>26</v>
      </c>
      <c r="H16" s="2" t="s">
        <v>16</v>
      </c>
      <c r="K16" s="2" t="s">
        <v>17</v>
      </c>
      <c r="L16" s="2" t="s">
        <v>18</v>
      </c>
      <c r="M16" s="9" t="s">
        <v>21</v>
      </c>
    </row>
    <row r="17" spans="6:13" x14ac:dyDescent="0.3">
      <c r="F17" s="2">
        <f>D14</f>
        <v>324</v>
      </c>
      <c r="G17" s="2">
        <f>MOD(F17,2)</f>
        <v>0</v>
      </c>
      <c r="H17" s="2">
        <f>TRUNC(F17/2)</f>
        <v>162</v>
      </c>
      <c r="K17" s="2">
        <f>D15</f>
        <v>0.68900000000002137</v>
      </c>
      <c r="L17" s="2">
        <f>TRUNC(2*K17,0)</f>
        <v>1</v>
      </c>
      <c r="M17" s="2">
        <f>2*K17-L17</f>
        <v>0.37800000000004275</v>
      </c>
    </row>
    <row r="18" spans="6:13" x14ac:dyDescent="0.3">
      <c r="F18" s="2">
        <f>H17</f>
        <v>162</v>
      </c>
      <c r="G18" s="2">
        <f>MOD(F18,2)</f>
        <v>0</v>
      </c>
      <c r="H18" s="2">
        <f>TRUNC(F18/2)</f>
        <v>81</v>
      </c>
      <c r="K18" s="2">
        <f>M17</f>
        <v>0.37800000000004275</v>
      </c>
      <c r="L18" s="2">
        <f>TRUNC(2*K18,0)</f>
        <v>0</v>
      </c>
      <c r="M18" s="2">
        <f>2*K18-L18</f>
        <v>0.75600000000008549</v>
      </c>
    </row>
    <row r="19" spans="6:13" x14ac:dyDescent="0.3">
      <c r="F19" s="2">
        <f t="shared" ref="F19:F28" si="2">H18</f>
        <v>81</v>
      </c>
      <c r="G19" s="2">
        <f t="shared" ref="G19:G28" si="3">MOD(F19,2)</f>
        <v>1</v>
      </c>
      <c r="H19" s="2">
        <f t="shared" ref="H19:H28" si="4">TRUNC(F19/2)</f>
        <v>40</v>
      </c>
      <c r="K19" s="2">
        <f t="shared" ref="K19:K30" si="5">M18</f>
        <v>0.75600000000008549</v>
      </c>
      <c r="L19" s="2">
        <f t="shared" ref="L19:L30" si="6">TRUNC(2*K19,0)</f>
        <v>1</v>
      </c>
      <c r="M19" s="2">
        <f t="shared" ref="M19:M30" si="7">2*K19-L19</f>
        <v>0.51200000000017099</v>
      </c>
    </row>
    <row r="20" spans="6:13" x14ac:dyDescent="0.3">
      <c r="F20" s="2">
        <f t="shared" si="2"/>
        <v>40</v>
      </c>
      <c r="G20" s="2">
        <f t="shared" si="3"/>
        <v>0</v>
      </c>
      <c r="H20" s="2">
        <f t="shared" si="4"/>
        <v>20</v>
      </c>
      <c r="K20" s="2">
        <f t="shared" si="5"/>
        <v>0.51200000000017099</v>
      </c>
      <c r="L20" s="2">
        <f t="shared" si="6"/>
        <v>1</v>
      </c>
      <c r="M20" s="2">
        <f t="shared" si="7"/>
        <v>2.400000000034197E-2</v>
      </c>
    </row>
    <row r="21" spans="6:13" x14ac:dyDescent="0.3">
      <c r="F21" s="2">
        <f t="shared" si="2"/>
        <v>20</v>
      </c>
      <c r="G21" s="2">
        <f t="shared" si="3"/>
        <v>0</v>
      </c>
      <c r="H21" s="2">
        <f t="shared" si="4"/>
        <v>10</v>
      </c>
      <c r="K21" s="2">
        <f t="shared" si="5"/>
        <v>2.400000000034197E-2</v>
      </c>
      <c r="L21" s="2">
        <f t="shared" si="6"/>
        <v>0</v>
      </c>
      <c r="M21" s="2">
        <f t="shared" si="7"/>
        <v>4.800000000068394E-2</v>
      </c>
    </row>
    <row r="22" spans="6:13" x14ac:dyDescent="0.3">
      <c r="F22" s="2">
        <f t="shared" si="2"/>
        <v>10</v>
      </c>
      <c r="G22" s="2">
        <f t="shared" si="3"/>
        <v>0</v>
      </c>
      <c r="H22" s="2">
        <f t="shared" si="4"/>
        <v>5</v>
      </c>
      <c r="K22" s="2">
        <f t="shared" si="5"/>
        <v>4.800000000068394E-2</v>
      </c>
      <c r="L22" s="2">
        <f t="shared" si="6"/>
        <v>0</v>
      </c>
      <c r="M22" s="2">
        <f t="shared" si="7"/>
        <v>9.600000000136788E-2</v>
      </c>
    </row>
    <row r="23" spans="6:13" x14ac:dyDescent="0.3">
      <c r="F23" s="2">
        <f t="shared" si="2"/>
        <v>5</v>
      </c>
      <c r="G23" s="2">
        <f t="shared" si="3"/>
        <v>1</v>
      </c>
      <c r="H23" s="2">
        <f t="shared" si="4"/>
        <v>2</v>
      </c>
      <c r="K23" s="2">
        <f t="shared" si="5"/>
        <v>9.600000000136788E-2</v>
      </c>
      <c r="L23" s="2">
        <f t="shared" si="6"/>
        <v>0</v>
      </c>
      <c r="M23" s="2">
        <f t="shared" si="7"/>
        <v>0.19200000000273576</v>
      </c>
    </row>
    <row r="24" spans="6:13" x14ac:dyDescent="0.3">
      <c r="F24" s="2">
        <f t="shared" si="2"/>
        <v>2</v>
      </c>
      <c r="G24" s="2">
        <f t="shared" si="3"/>
        <v>0</v>
      </c>
      <c r="H24" s="2">
        <f t="shared" si="4"/>
        <v>1</v>
      </c>
      <c r="K24" s="2">
        <f t="shared" si="5"/>
        <v>0.19200000000273576</v>
      </c>
      <c r="L24" s="2">
        <f t="shared" si="6"/>
        <v>0</v>
      </c>
      <c r="M24" s="2">
        <f t="shared" si="7"/>
        <v>0.38400000000547152</v>
      </c>
    </row>
    <row r="25" spans="6:13" x14ac:dyDescent="0.3">
      <c r="F25" s="2">
        <f t="shared" si="2"/>
        <v>1</v>
      </c>
      <c r="G25" s="2">
        <f t="shared" si="3"/>
        <v>1</v>
      </c>
      <c r="H25" s="2">
        <f t="shared" si="4"/>
        <v>0</v>
      </c>
      <c r="K25" s="2">
        <f t="shared" si="5"/>
        <v>0.38400000000547152</v>
      </c>
      <c r="L25" s="2">
        <f t="shared" si="6"/>
        <v>0</v>
      </c>
      <c r="M25" s="2">
        <f t="shared" si="7"/>
        <v>0.76800000001094304</v>
      </c>
    </row>
    <row r="26" spans="6:13" x14ac:dyDescent="0.3">
      <c r="F26" s="2">
        <f t="shared" si="2"/>
        <v>0</v>
      </c>
      <c r="G26" s="2">
        <f t="shared" si="3"/>
        <v>0</v>
      </c>
      <c r="H26" s="2">
        <f t="shared" si="4"/>
        <v>0</v>
      </c>
      <c r="K26" s="2">
        <f t="shared" si="5"/>
        <v>0.76800000001094304</v>
      </c>
      <c r="L26" s="2">
        <f t="shared" si="6"/>
        <v>1</v>
      </c>
      <c r="M26" s="2">
        <f t="shared" si="7"/>
        <v>0.53600000002188608</v>
      </c>
    </row>
    <row r="27" spans="6:13" x14ac:dyDescent="0.3">
      <c r="F27" s="2">
        <f t="shared" si="2"/>
        <v>0</v>
      </c>
      <c r="G27" s="2">
        <f t="shared" si="3"/>
        <v>0</v>
      </c>
      <c r="H27" s="2">
        <f t="shared" si="4"/>
        <v>0</v>
      </c>
      <c r="K27" s="2">
        <f t="shared" si="5"/>
        <v>0.53600000002188608</v>
      </c>
      <c r="L27" s="2">
        <f t="shared" si="6"/>
        <v>1</v>
      </c>
      <c r="M27" s="2">
        <f t="shared" si="7"/>
        <v>7.2000000043772161E-2</v>
      </c>
    </row>
    <row r="28" spans="6:13" x14ac:dyDescent="0.3">
      <c r="F28" s="2">
        <f t="shared" si="2"/>
        <v>0</v>
      </c>
      <c r="G28" s="2">
        <f t="shared" si="3"/>
        <v>0</v>
      </c>
      <c r="H28" s="2">
        <f t="shared" si="4"/>
        <v>0</v>
      </c>
      <c r="K28" s="2">
        <f t="shared" si="5"/>
        <v>7.2000000043772161E-2</v>
      </c>
      <c r="L28" s="2">
        <f t="shared" si="6"/>
        <v>0</v>
      </c>
      <c r="M28" s="2">
        <f t="shared" si="7"/>
        <v>0.14400000008754432</v>
      </c>
    </row>
    <row r="29" spans="6:13" x14ac:dyDescent="0.3">
      <c r="K29" s="2">
        <f t="shared" si="5"/>
        <v>0.14400000008754432</v>
      </c>
      <c r="L29" s="2">
        <f t="shared" si="6"/>
        <v>0</v>
      </c>
      <c r="M29" s="2">
        <f t="shared" si="7"/>
        <v>0.28800000017508864</v>
      </c>
    </row>
    <row r="30" spans="6:13" x14ac:dyDescent="0.3">
      <c r="K30" s="2">
        <f t="shared" si="5"/>
        <v>0.28800000017508864</v>
      </c>
      <c r="L30" s="2">
        <f t="shared" si="6"/>
        <v>0</v>
      </c>
      <c r="M30" s="2">
        <f t="shared" si="7"/>
        <v>0.57600000035017729</v>
      </c>
    </row>
    <row r="37" spans="3:27" x14ac:dyDescent="0.3">
      <c r="D37" s="23" t="s">
        <v>19</v>
      </c>
      <c r="E37" s="23"/>
      <c r="F37" s="10">
        <v>1</v>
      </c>
      <c r="G37" s="10">
        <v>0</v>
      </c>
      <c r="H37" s="10">
        <v>1</v>
      </c>
      <c r="I37" s="10">
        <v>0</v>
      </c>
      <c r="J37" s="10">
        <v>0</v>
      </c>
      <c r="K37" s="10">
        <v>0</v>
      </c>
      <c r="L37" s="10">
        <v>1</v>
      </c>
      <c r="M37" s="10">
        <v>0</v>
      </c>
      <c r="N37" s="10">
        <v>0</v>
      </c>
      <c r="O37" s="10" t="s">
        <v>20</v>
      </c>
      <c r="P37" s="10">
        <v>1</v>
      </c>
      <c r="Q37" s="10">
        <v>0</v>
      </c>
      <c r="R37" s="10">
        <v>1</v>
      </c>
      <c r="S37" s="10">
        <v>1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1</v>
      </c>
      <c r="Z37" s="10">
        <v>1</v>
      </c>
    </row>
    <row r="39" spans="3:27" x14ac:dyDescent="0.3">
      <c r="E39" s="11" t="str">
        <f>"="</f>
        <v>=</v>
      </c>
      <c r="F39" s="25" t="s">
        <v>22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2" spans="3:27" x14ac:dyDescent="0.3">
      <c r="C42" s="2" t="s">
        <v>23</v>
      </c>
      <c r="D42" s="2">
        <f xml:space="preserve"> 8</f>
        <v>8</v>
      </c>
    </row>
    <row r="43" spans="3:27" x14ac:dyDescent="0.3">
      <c r="C43" s="2" t="s">
        <v>24</v>
      </c>
      <c r="D43" s="2">
        <v>23</v>
      </c>
      <c r="G43" s="15" t="s">
        <v>25</v>
      </c>
      <c r="H43" s="15"/>
      <c r="I43" s="15"/>
    </row>
    <row r="44" spans="3:27" ht="28.8" x14ac:dyDescent="0.3">
      <c r="G44" s="9" t="s">
        <v>15</v>
      </c>
      <c r="H44" s="9" t="s">
        <v>27</v>
      </c>
      <c r="I44" s="9" t="s">
        <v>16</v>
      </c>
    </row>
    <row r="45" spans="3:27" x14ac:dyDescent="0.3">
      <c r="G45" s="2">
        <v>23</v>
      </c>
      <c r="H45" s="2">
        <f>MOD(G45,2)</f>
        <v>1</v>
      </c>
      <c r="I45" s="2">
        <f>TRUNC(G45/2,0)</f>
        <v>11</v>
      </c>
    </row>
    <row r="46" spans="3:27" x14ac:dyDescent="0.3">
      <c r="G46" s="2">
        <f>I45</f>
        <v>11</v>
      </c>
      <c r="H46" s="2">
        <f>MOD(G46,2)</f>
        <v>1</v>
      </c>
      <c r="I46" s="2">
        <f>TRUNC(G46/2,0)</f>
        <v>5</v>
      </c>
    </row>
    <row r="47" spans="3:27" x14ac:dyDescent="0.3">
      <c r="G47" s="2">
        <f t="shared" ref="G47:G52" si="8">I46</f>
        <v>5</v>
      </c>
      <c r="H47" s="2">
        <f t="shared" ref="H47:H52" si="9">MOD(G47,2)</f>
        <v>1</v>
      </c>
      <c r="I47" s="2">
        <f t="shared" ref="I47:I52" si="10">TRUNC(G47/2,0)</f>
        <v>2</v>
      </c>
    </row>
    <row r="48" spans="3:27" x14ac:dyDescent="0.3">
      <c r="G48" s="2">
        <f t="shared" si="8"/>
        <v>2</v>
      </c>
      <c r="H48" s="2">
        <f t="shared" si="9"/>
        <v>0</v>
      </c>
      <c r="I48" s="2">
        <f t="shared" si="10"/>
        <v>1</v>
      </c>
      <c r="M48" s="1">
        <v>4</v>
      </c>
      <c r="N48" s="1">
        <v>3</v>
      </c>
      <c r="O48" s="1">
        <v>2</v>
      </c>
      <c r="P48" s="1">
        <v>1</v>
      </c>
      <c r="Q48" s="1">
        <v>0</v>
      </c>
      <c r="R48" s="1">
        <v>-1</v>
      </c>
      <c r="S48" s="1">
        <v>-2</v>
      </c>
      <c r="T48" s="1">
        <v>-3</v>
      </c>
      <c r="U48" s="1">
        <v>-4</v>
      </c>
      <c r="V48" s="1">
        <v>-5</v>
      </c>
      <c r="W48" s="1">
        <v>-6</v>
      </c>
      <c r="X48" s="1">
        <v>-7</v>
      </c>
      <c r="Y48" s="1">
        <v>-8</v>
      </c>
      <c r="Z48" s="1">
        <v>-9</v>
      </c>
      <c r="AA48" s="1">
        <v>-10</v>
      </c>
    </row>
    <row r="49" spans="7:27" x14ac:dyDescent="0.3">
      <c r="G49" s="2">
        <f t="shared" si="8"/>
        <v>1</v>
      </c>
      <c r="H49" s="2">
        <f t="shared" si="9"/>
        <v>1</v>
      </c>
      <c r="I49" s="2">
        <f t="shared" si="10"/>
        <v>0</v>
      </c>
      <c r="L49" s="6" t="s">
        <v>1</v>
      </c>
      <c r="M49" s="13" t="s">
        <v>0</v>
      </c>
      <c r="N49" s="13"/>
      <c r="O49" s="13"/>
      <c r="P49" s="13"/>
      <c r="Q49" s="13"/>
      <c r="R49" s="14" t="s">
        <v>2</v>
      </c>
      <c r="S49" s="14"/>
      <c r="T49" s="14"/>
      <c r="U49" s="14"/>
      <c r="V49" s="14"/>
      <c r="W49" s="14"/>
      <c r="X49" s="14"/>
      <c r="Y49" s="14"/>
      <c r="Z49" s="14"/>
      <c r="AA49" s="14"/>
    </row>
    <row r="50" spans="7:27" x14ac:dyDescent="0.3">
      <c r="G50" s="2">
        <f t="shared" si="8"/>
        <v>0</v>
      </c>
      <c r="H50" s="2">
        <f t="shared" si="9"/>
        <v>0</v>
      </c>
      <c r="I50" s="2">
        <f t="shared" si="10"/>
        <v>0</v>
      </c>
      <c r="L50" s="3">
        <v>0</v>
      </c>
      <c r="M50" s="4">
        <v>1</v>
      </c>
      <c r="N50" s="4">
        <v>0</v>
      </c>
      <c r="O50" s="4">
        <v>1</v>
      </c>
      <c r="P50" s="4">
        <v>1</v>
      </c>
      <c r="Q50" s="4">
        <v>1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  <c r="Y50" s="5">
        <v>0</v>
      </c>
      <c r="Z50" s="5">
        <v>1</v>
      </c>
      <c r="AA50" s="5">
        <v>0</v>
      </c>
    </row>
    <row r="51" spans="7:27" x14ac:dyDescent="0.3">
      <c r="G51" s="2">
        <f t="shared" si="8"/>
        <v>0</v>
      </c>
      <c r="H51" s="2">
        <f t="shared" si="9"/>
        <v>0</v>
      </c>
      <c r="I51" s="2">
        <f t="shared" si="10"/>
        <v>0</v>
      </c>
      <c r="M51" s="2">
        <f t="shared" ref="M51:P51" si="11">M50*2^M48</f>
        <v>16</v>
      </c>
      <c r="N51" s="2">
        <f t="shared" si="11"/>
        <v>0</v>
      </c>
      <c r="O51" s="2">
        <f t="shared" si="11"/>
        <v>4</v>
      </c>
      <c r="P51" s="2">
        <f t="shared" si="11"/>
        <v>2</v>
      </c>
      <c r="Q51" s="2">
        <f>Q50*2^Q48</f>
        <v>1</v>
      </c>
      <c r="R51" s="2">
        <f>R50*2^R48</f>
        <v>0</v>
      </c>
      <c r="S51" s="2">
        <f t="shared" ref="S51:AA51" si="12">S50*2^S48</f>
        <v>0.25</v>
      </c>
      <c r="T51" s="2">
        <f t="shared" si="12"/>
        <v>0</v>
      </c>
      <c r="U51" s="2">
        <f t="shared" si="12"/>
        <v>0</v>
      </c>
      <c r="V51" s="2">
        <f t="shared" si="12"/>
        <v>0</v>
      </c>
      <c r="W51" s="2">
        <f t="shared" si="12"/>
        <v>1.5625E-2</v>
      </c>
      <c r="X51" s="2">
        <f t="shared" si="12"/>
        <v>0</v>
      </c>
      <c r="Y51" s="2">
        <f t="shared" si="12"/>
        <v>0</v>
      </c>
      <c r="Z51" s="2">
        <f t="shared" si="12"/>
        <v>1.953125E-3</v>
      </c>
      <c r="AA51" s="2">
        <f t="shared" si="12"/>
        <v>0</v>
      </c>
    </row>
    <row r="52" spans="7:27" x14ac:dyDescent="0.3">
      <c r="G52" s="2">
        <f t="shared" si="8"/>
        <v>0</v>
      </c>
      <c r="H52" s="2">
        <f t="shared" si="9"/>
        <v>0</v>
      </c>
      <c r="I52" s="2">
        <f t="shared" si="10"/>
        <v>0</v>
      </c>
    </row>
    <row r="53" spans="7:27" x14ac:dyDescent="0.3">
      <c r="G53" s="2"/>
      <c r="H53" s="2"/>
      <c r="I53" s="2"/>
    </row>
    <row r="54" spans="7:27" x14ac:dyDescent="0.3">
      <c r="G54" s="2"/>
      <c r="H54" s="2"/>
      <c r="I54" s="2"/>
    </row>
    <row r="55" spans="7:27" x14ac:dyDescent="0.3">
      <c r="G55" s="2"/>
      <c r="H55" s="2"/>
      <c r="I55" s="2"/>
      <c r="L55" s="20" t="s">
        <v>28</v>
      </c>
      <c r="M55" s="21"/>
      <c r="N55" s="22">
        <f>(-1)^L50*2^(SUM(M51:Q51)-15)*(1+SUM(R51:AA51))</f>
        <v>324.5</v>
      </c>
      <c r="O55" s="22"/>
      <c r="P55" s="22"/>
    </row>
    <row r="56" spans="7:27" x14ac:dyDescent="0.3">
      <c r="G56" s="2"/>
      <c r="H56" s="2"/>
      <c r="I56" s="2"/>
    </row>
    <row r="57" spans="7:27" x14ac:dyDescent="0.3">
      <c r="G57" s="2"/>
      <c r="H57" s="2"/>
      <c r="I57" s="2"/>
    </row>
    <row r="58" spans="7:27" x14ac:dyDescent="0.3">
      <c r="G58" s="2"/>
      <c r="H58" s="2"/>
      <c r="I58" s="2"/>
    </row>
    <row r="59" spans="7:27" x14ac:dyDescent="0.3">
      <c r="G59" s="2"/>
      <c r="H59" s="2"/>
      <c r="I59" s="2"/>
    </row>
    <row r="60" spans="7:27" x14ac:dyDescent="0.3">
      <c r="G60" s="2"/>
      <c r="H60" s="2"/>
      <c r="I60" s="2"/>
    </row>
    <row r="61" spans="7:27" x14ac:dyDescent="0.3">
      <c r="G61" s="2"/>
      <c r="H61" s="2"/>
      <c r="I61" s="2"/>
    </row>
    <row r="62" spans="7:27" x14ac:dyDescent="0.3">
      <c r="G62" s="2"/>
      <c r="H62" s="2"/>
      <c r="I62" s="2"/>
    </row>
    <row r="63" spans="7:27" x14ac:dyDescent="0.3">
      <c r="G63" s="2"/>
      <c r="H63" s="2"/>
      <c r="I63" s="2"/>
    </row>
  </sheetData>
  <mergeCells count="16">
    <mergeCell ref="L55:M55"/>
    <mergeCell ref="N55:P55"/>
    <mergeCell ref="D37:E37"/>
    <mergeCell ref="K15:M15"/>
    <mergeCell ref="F39:X39"/>
    <mergeCell ref="G43:I43"/>
    <mergeCell ref="M49:Q49"/>
    <mergeCell ref="R49:AA49"/>
    <mergeCell ref="D9:H9"/>
    <mergeCell ref="I9:R9"/>
    <mergeCell ref="C2:D2"/>
    <mergeCell ref="B14:C14"/>
    <mergeCell ref="B15:C15"/>
    <mergeCell ref="B13:C13"/>
    <mergeCell ref="F15:G15"/>
    <mergeCell ref="I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ortigoza</dc:creator>
  <cp:lastModifiedBy>Margiee Coy</cp:lastModifiedBy>
  <dcterms:created xsi:type="dcterms:W3CDTF">2026-08-25T16:08:48Z</dcterms:created>
  <dcterms:modified xsi:type="dcterms:W3CDTF">2026-09-02T23:43:08Z</dcterms:modified>
</cp:coreProperties>
</file>